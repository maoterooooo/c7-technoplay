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_LICITUDS_PRESTEC" sheetId="1" r:id="rId4"/>
    <sheet state="visible" name="APROVACIONS_AUTO" sheetId="2" r:id="rId5"/>
    <sheet state="visible" name="RETORNADES" sheetId="3" r:id="rId6"/>
    <sheet state="visible" name="RETORNADES_AUTO" sheetId="4" r:id="rId7"/>
    <sheet state="visible" name="REPARACIONS" sheetId="5" r:id="rId8"/>
    <sheet state="visible" name="Dashboard" sheetId="6" r:id="rId9"/>
    <sheet state="visible" name="AVARIES" sheetId="7" r:id="rId10"/>
    <sheet state="visible" name="AVARIES_AUTO" sheetId="8" r:id="rId11"/>
    <sheet state="visible" name="Costos_Reparacio" sheetId="9" r:id="rId12"/>
    <sheet state="visible" name="inventari" sheetId="10" r:id="rId13"/>
    <sheet state="visible" name="EQUIPS_EN_PRESTEC_ACTIUS" sheetId="11" r:id="rId14"/>
  </sheets>
  <definedNames/>
  <calcPr/>
</workbook>
</file>

<file path=xl/sharedStrings.xml><?xml version="1.0" encoding="utf-8"?>
<sst xmlns="http://schemas.openxmlformats.org/spreadsheetml/2006/main" count="3341" uniqueCount="516">
  <si>
    <t>Marca de temps</t>
  </si>
  <si>
    <t>Marca_temps</t>
  </si>
  <si>
    <t>Adreça_correu</t>
  </si>
  <si>
    <t xml:space="preserve"> Codi_usuari</t>
  </si>
  <si>
    <t>Tipus_equip</t>
  </si>
  <si>
    <t>Model_preferit</t>
  </si>
  <si>
    <t>Data_inici</t>
  </si>
  <si>
    <t>Data_retorn</t>
  </si>
  <si>
    <t>Motiu</t>
  </si>
  <si>
    <t>Observacions</t>
  </si>
  <si>
    <t>Adreça electrònica</t>
  </si>
  <si>
    <t>maria.santos@electrotech.cat</t>
  </si>
  <si>
    <t>EMP001</t>
  </si>
  <si>
    <t>Portàtil</t>
  </si>
  <si>
    <t>ThinkPad</t>
  </si>
  <si>
    <t>Presentació client</t>
  </si>
  <si>
    <t>Client important Girona</t>
  </si>
  <si>
    <t>josep.ribas@electrotech.cat</t>
  </si>
  <si>
    <t>EMP002</t>
  </si>
  <si>
    <t>Tàblet</t>
  </si>
  <si>
    <t>Treball remot</t>
  </si>
  <si>
    <t>Weekend working</t>
  </si>
  <si>
    <t>carles.puig@electrotech.cat</t>
  </si>
  <si>
    <t>EMP003</t>
  </si>
  <si>
    <t>Disc extern</t>
  </si>
  <si>
    <t>2TB</t>
  </si>
  <si>
    <t>Substitució equip avariat</t>
  </si>
  <si>
    <t>Backup urgent</t>
  </si>
  <si>
    <t>anna.mercader@electrotech.cat</t>
  </si>
  <si>
    <t>EMP004</t>
  </si>
  <si>
    <t>HP ProBook</t>
  </si>
  <si>
    <t>Viatge de negocis</t>
  </si>
  <si>
    <t>Fira Barcelona</t>
  </si>
  <si>
    <t>david.martin@electrotech.cat</t>
  </si>
  <si>
    <t>EMP005</t>
  </si>
  <si>
    <t>Càmera</t>
  </si>
  <si>
    <t>Formació externa</t>
  </si>
  <si>
    <t>Gravar sessions</t>
  </si>
  <si>
    <t>laura.vidal@electrotech.cat</t>
  </si>
  <si>
    <t>EMP006</t>
  </si>
  <si>
    <t>Mòbil</t>
  </si>
  <si>
    <t>iPhone</t>
  </si>
  <si>
    <t>MWC Barcelona</t>
  </si>
  <si>
    <t>jordi.casals@electrotech.cat</t>
  </si>
  <si>
    <t>EMP007</t>
  </si>
  <si>
    <t>Dell</t>
  </si>
  <si>
    <t>El meu no arrenca</t>
  </si>
  <si>
    <t>marta.ferrer@electrotech.cat</t>
  </si>
  <si>
    <t>EMP008</t>
  </si>
  <si>
    <t>Samsung</t>
  </si>
  <si>
    <t>Demo interactiva</t>
  </si>
  <si>
    <t>roger.pons@electrotech.cat</t>
  </si>
  <si>
    <t>EMP009</t>
  </si>
  <si>
    <t>Altres</t>
  </si>
  <si>
    <t>Migració dades</t>
  </si>
  <si>
    <t>sonia.camps@electrotech.cat</t>
  </si>
  <si>
    <t>EMP010</t>
  </si>
  <si>
    <t>Accessories</t>
  </si>
  <si>
    <t>Teclat</t>
  </si>
  <si>
    <t>Teletreball prolongat</t>
  </si>
  <si>
    <t>pau.miro@electrotech.cat</t>
  </si>
  <si>
    <t>EMP011</t>
  </si>
  <si>
    <t>iPad</t>
  </si>
  <si>
    <t>Curs disseny</t>
  </si>
  <si>
    <t>clara.bosch@electrotech.cat</t>
  </si>
  <si>
    <t>EMP012</t>
  </si>
  <si>
    <t>Visites Andalusia</t>
  </si>
  <si>
    <t>albert.roca@electrotech.cat</t>
  </si>
  <si>
    <t>EMP013</t>
  </si>
  <si>
    <t>4TB</t>
  </si>
  <si>
    <t>Backup servidor</t>
  </si>
  <si>
    <t>nuria.font@electrotech.cat</t>
  </si>
  <si>
    <t>EMP014</t>
  </si>
  <si>
    <t>Lenovo</t>
  </si>
  <si>
    <t>Ajuntament</t>
  </si>
  <si>
    <t>marc.sola@electrotech.cat</t>
  </si>
  <si>
    <t>EMP015</t>
  </si>
  <si>
    <t>Certificació MS</t>
  </si>
  <si>
    <t>eva.torres@electrotech.cat</t>
  </si>
  <si>
    <t>EMP016</t>
  </si>
  <si>
    <t>Sony</t>
  </si>
  <si>
    <t>Fotos producte</t>
  </si>
  <si>
    <t>francesc.gil@electrotech.cat</t>
  </si>
  <si>
    <t>EMP017</t>
  </si>
  <si>
    <t>Remot client</t>
  </si>
  <si>
    <t>isabel.prats@electrotech.cat</t>
  </si>
  <si>
    <t>EMP018</t>
  </si>
  <si>
    <t>França</t>
  </si>
  <si>
    <t>ramon.serra@electrotech.cat</t>
  </si>
  <si>
    <t>EMP019</t>
  </si>
  <si>
    <t>Control qualitat</t>
  </si>
  <si>
    <t>lidia.mas@electrotech.cat</t>
  </si>
  <si>
    <t>EMP020</t>
  </si>
  <si>
    <t>Curs RRHH</t>
  </si>
  <si>
    <t>montse.valls@electrotech.cat</t>
  </si>
  <si>
    <t>EMP021</t>
  </si>
  <si>
    <t>Demo producte</t>
  </si>
  <si>
    <t>joaquim.ruiz@electrotech.cat</t>
  </si>
  <si>
    <t>EMP022</t>
  </si>
  <si>
    <t>Seguretat remota</t>
  </si>
  <si>
    <t>carmen.lopez@electrotech.cat</t>
  </si>
  <si>
    <t>EMP023</t>
  </si>
  <si>
    <t>Webcam</t>
  </si>
  <si>
    <t>Videoconferències</t>
  </si>
  <si>
    <t>pere.castell@electrotech.cat</t>
  </si>
  <si>
    <t>EMP024</t>
  </si>
  <si>
    <t>Reunions direcció</t>
  </si>
  <si>
    <t>Segona demo</t>
  </si>
  <si>
    <t>HP</t>
  </si>
  <si>
    <t>Tercer equip</t>
  </si>
  <si>
    <t>Segon equip</t>
  </si>
  <si>
    <t>Dates incorrectes</t>
  </si>
  <si>
    <t>Projector</t>
  </si>
  <si>
    <t>Reunió interna</t>
  </si>
  <si>
    <t>ID_Solicitud</t>
  </si>
  <si>
    <t>Codi_usuari</t>
  </si>
  <si>
    <t>Data_inici_real</t>
  </si>
  <si>
    <t>Dates_ok</t>
  </si>
  <si>
    <t>Equips_disponibles</t>
  </si>
  <si>
    <t>Prestecs_actius</t>
  </si>
  <si>
    <t>Estat_auto</t>
  </si>
  <si>
    <t>Equip_assignat</t>
  </si>
  <si>
    <t>Codi_equip</t>
  </si>
  <si>
    <t>Estat_retornada</t>
  </si>
  <si>
    <t>Comentaris</t>
  </si>
  <si>
    <t>Confirmat</t>
  </si>
  <si>
    <t>POR002</t>
  </si>
  <si>
    <t>Perfecte</t>
  </si>
  <si>
    <t>Tot correcte sense problemes</t>
  </si>
  <si>
    <t>TAB002</t>
  </si>
  <si>
    <t>Ratllades lleus</t>
  </si>
  <si>
    <t>Petita ratllada al marc</t>
  </si>
  <si>
    <t>DD001</t>
  </si>
  <si>
    <t>Retorn estàndard</t>
  </si>
  <si>
    <t>MOB003</t>
  </si>
  <si>
    <t>Cap problema</t>
  </si>
  <si>
    <t>CAM002</t>
  </si>
  <si>
    <t>Avaria menor</t>
  </si>
  <si>
    <t>L'estabilitzador fa soroll</t>
  </si>
  <si>
    <t>POR004</t>
  </si>
  <si>
    <t>Tot OK</t>
  </si>
  <si>
    <t>POR999</t>
  </si>
  <si>
    <t>Equip inexistent al sistema</t>
  </si>
  <si>
    <t>TAB001</t>
  </si>
  <si>
    <t>Ús normal</t>
  </si>
  <si>
    <t>DD002</t>
  </si>
  <si>
    <t>Sense incidències</t>
  </si>
  <si>
    <t>ACC002</t>
  </si>
  <si>
    <t>Avaria greu</t>
  </si>
  <si>
    <t>Teclat amb tecles que no funcionen</t>
  </si>
  <si>
    <t>TAB008</t>
  </si>
  <si>
    <t>Tot correcte</t>
  </si>
  <si>
    <t>POR010</t>
  </si>
  <si>
    <t>Trencat/Inutilitzable</t>
  </si>
  <si>
    <t>Pantalla completament trencada</t>
  </si>
  <si>
    <t>ORD001</t>
  </si>
  <si>
    <t>Equip no prestable retornat per error</t>
  </si>
  <si>
    <t>DD005</t>
  </si>
  <si>
    <t>Connector USB fluix</t>
  </si>
  <si>
    <t>POR006</t>
  </si>
  <si>
    <t>Algunes marques d'ús</t>
  </si>
  <si>
    <t>ID_equip</t>
  </si>
  <si>
    <t>Validacio_ID</t>
  </si>
  <si>
    <t>Validacio_prestec</t>
  </si>
  <si>
    <t>Estat_final</t>
  </si>
  <si>
    <t>Nou_estat_inventari</t>
  </si>
  <si>
    <t>Usuari_anterior</t>
  </si>
  <si>
    <t>Data_prestec_original</t>
  </si>
  <si>
    <t>ID_Reparacio</t>
  </si>
  <si>
    <t>ID_Avaria</t>
  </si>
  <si>
    <t>Problema_detectat</t>
  </si>
  <si>
    <t>Assignat_a</t>
  </si>
  <si>
    <t>Tipus_reparacio</t>
  </si>
  <si>
    <t>Data_prevista_fi</t>
  </si>
  <si>
    <t>Estat_reparacio</t>
  </si>
  <si>
    <t>Cost_estimat</t>
  </si>
  <si>
    <t>Proveidor_extern</t>
  </si>
  <si>
    <t>Peces_necessaries</t>
  </si>
  <si>
    <t>Observacions_tecnic</t>
  </si>
  <si>
    <t>EXTERN_MARCA_FABRICANT</t>
  </si>
  <si>
    <t>FINALITZADA</t>
  </si>
  <si>
    <t>IMP002</t>
  </si>
  <si>
    <t>INTERN_EMP030 (Francesc Morera IT)</t>
  </si>
  <si>
    <t>RAT002</t>
  </si>
  <si>
    <t>EXTERN_SERVEI_TECNIC</t>
  </si>
  <si>
    <t>MON006</t>
  </si>
  <si>
    <t>ORD002</t>
  </si>
  <si>
    <t>TAB006</t>
  </si>
  <si>
    <t>MOB001</t>
  </si>
  <si>
    <t>CAM004</t>
  </si>
  <si>
    <t>PROJ003</t>
  </si>
  <si>
    <t>XXX999</t>
  </si>
  <si>
    <t>COST_NO_TROBAT</t>
  </si>
  <si>
    <t>POR003</t>
  </si>
  <si>
    <t>DD003</t>
  </si>
  <si>
    <t>INTERN_EMP032 (Eduard Civit de manteniment)</t>
  </si>
  <si>
    <t>TEC002</t>
  </si>
  <si>
    <t>INTERN_EMP005 (David Martín IT)</t>
  </si>
  <si>
    <t/>
  </si>
  <si>
    <t>INVENTARI GENERAL</t>
  </si>
  <si>
    <t>Total equips</t>
  </si>
  <si>
    <t>Equips en préstec</t>
  </si>
  <si>
    <t>Persona</t>
  </si>
  <si>
    <t>Ext</t>
  </si>
  <si>
    <t>Disponibles</t>
  </si>
  <si>
    <t>En préstec</t>
  </si>
  <si>
    <t>Avariats</t>
  </si>
  <si>
    <t>En manteniment</t>
  </si>
  <si>
    <t>Retirats</t>
  </si>
  <si>
    <t>Equip prestables</t>
  </si>
  <si>
    <t>Equip fixos operatius</t>
  </si>
  <si>
    <t>PRÉSTECS</t>
  </si>
  <si>
    <t>Préstec actius</t>
  </si>
  <si>
    <t>Sol·licituds pendents</t>
  </si>
  <si>
    <t>Aprovacions automàtiques</t>
  </si>
  <si>
    <t>Préstecs endarrerits</t>
  </si>
  <si>
    <t>Dies mitjans préstecs</t>
  </si>
  <si>
    <t>Percentatge disponibilitat</t>
  </si>
  <si>
    <t>AVARIES</t>
  </si>
  <si>
    <t xml:space="preserve">Averies notificades </t>
  </si>
  <si>
    <t>Averies pendent revisar</t>
  </si>
  <si>
    <t>Averies en garantia</t>
  </si>
  <si>
    <t>Averies gravetat alta</t>
  </si>
  <si>
    <t>Percentatge sota garantia</t>
  </si>
  <si>
    <t>REPARACIONS</t>
  </si>
  <si>
    <t>Reparacions actives</t>
  </si>
  <si>
    <t>Finalitzades aquest mes</t>
  </si>
  <si>
    <t>Cost total reparacions</t>
  </si>
  <si>
    <t>Reparacions garantia</t>
  </si>
  <si>
    <t>Equips irreparables</t>
  </si>
  <si>
    <t>FINALITZAR PREPARACIONS</t>
  </si>
  <si>
    <t>Reparacions finalitzades</t>
  </si>
  <si>
    <t>Equips per reactivar</t>
  </si>
  <si>
    <t>Equips per retirar</t>
  </si>
  <si>
    <t>Costos per facturar</t>
  </si>
  <si>
    <t>Actualitzacions pendents</t>
  </si>
  <si>
    <t>Tipus</t>
  </si>
  <si>
    <t>En_Prestec</t>
  </si>
  <si>
    <t>Portátil</t>
  </si>
  <si>
    <t>Codi de l'equip avariat</t>
  </si>
  <si>
    <t>Usuari que reporta</t>
  </si>
  <si>
    <t>Tipus de problema</t>
  </si>
  <si>
    <t xml:space="preserve">Descripció detallada del problema </t>
  </si>
  <si>
    <t>Quan vas detectar el problema?</t>
  </si>
  <si>
    <t xml:space="preserve">L'equip estava en préstec? </t>
  </si>
  <si>
    <t>Gravetat del problema</t>
  </si>
  <si>
    <t>És urgent la reparació?</t>
  </si>
  <si>
    <t>POR007</t>
  </si>
  <si>
    <t>EMP001 - Maria Santos (Comercial)</t>
  </si>
  <si>
    <t>Pantalla trencada</t>
  </si>
  <si>
    <t>La pantalla del portàtil s'ha trencat completament després d'una caiguda. No es veu res</t>
  </si>
  <si>
    <t>Ara mateix</t>
  </si>
  <si>
    <t>Sí jo el tinia en préstec</t>
  </si>
  <si>
    <t>Molt urgent (atura treball)</t>
  </si>
  <si>
    <t>EMP019 - Ramon Serra (Manteniment)</t>
  </si>
  <si>
    <t>Paper encallat (impressores)</t>
  </si>
  <si>
    <t>La impressora de comercial té paper encallat constant. Ja he provat treure'l però torna a passar</t>
  </si>
  <si>
    <t>Aquesta setmana</t>
  </si>
  <si>
    <t>No estava a l'oficina</t>
  </si>
  <si>
    <t>Normal (es pot esperar)</t>
  </si>
  <si>
    <t>EMP002 - Josep Ribas (Administració)</t>
  </si>
  <si>
    <t>Touchpad/ratolí no funciona</t>
  </si>
  <si>
    <t>El botó dret del ratolí del meu despatx no funciona. És molt molest per treballar</t>
  </si>
  <si>
    <t>Fa 2-3 dies</t>
  </si>
  <si>
    <t>Urgent (afecta productivitat)</t>
  </si>
  <si>
    <t>EMP003 - Carles Puig (Tècnic)</t>
  </si>
  <si>
    <t>Pantalla no funciona</t>
  </si>
  <si>
    <t>El monitor secundari d'enginyeria té píxels morts al centre. Es veu una línia negra</t>
  </si>
  <si>
    <t>Ahir</t>
  </si>
  <si>
    <t>EMP021 - Montse Valls (Neteja)</t>
  </si>
  <si>
    <t>No s'encén</t>
  </si>
  <si>
    <t>L'ordinador del despatx 02 no s'encén quan premo el botó. Les llums no fan res</t>
  </si>
  <si>
    <t>Avui al matí</t>
  </si>
  <si>
    <t>No ho sé</t>
  </si>
  <si>
    <t>EMP005 - David Martín (IT)</t>
  </si>
  <si>
    <t>Kickstand trencat (tàblets)</t>
  </si>
  <si>
    <t>El suport de la Surface Pro està trencat. No es manté dreta per treballar</t>
  </si>
  <si>
    <t>EMP006 - Laura Vidal (Marketing)</t>
  </si>
  <si>
    <t>Bateria no carrega</t>
  </si>
  <si>
    <t>L'iPhone del magatzem té la bateria gonflada i no carrega. Sembla perillós</t>
  </si>
  <si>
    <t>EMP016 - Eva Torres (Marketing)</t>
  </si>
  <si>
    <t>Càmera no enfoca</t>
  </si>
  <si>
    <t>La DJI Pocket no enfoca bé. L'estabilitzador fa sorolls estranys</t>
  </si>
  <si>
    <t>EMP023 - Carmen López (Recepció)</t>
  </si>
  <si>
    <t>Projector sense imatge</t>
  </si>
  <si>
    <t>El projector de la sala A no dona imatge. S'encén però pantalla negra</t>
  </si>
  <si>
    <t>EMP011 - Pau Miró (Marketing)</t>
  </si>
  <si>
    <t>Software corromput</t>
  </si>
  <si>
    <t>El meu portàtil no arrenca. Codi inexistent al sistema</t>
  </si>
  <si>
    <t>EMP007 - Jordi Casals (Tècnic)</t>
  </si>
  <si>
    <t>Lentitud extrema</t>
  </si>
  <si>
    <t>El portàtil va molt lent. Triga 10 minuts a arrencar</t>
  </si>
  <si>
    <t>EMP012 - Clara Bosch (Comercial)</t>
  </si>
  <si>
    <t>El disc extern fa sorolls estranys quan es connecta</t>
  </si>
  <si>
    <t>EMP013 - Albert Roca (Tècnic)</t>
  </si>
  <si>
    <t>Teclat no funciona</t>
  </si>
  <si>
    <t>La tecla Enter del teclat va intermitent. A vegades funciona i a vegades no</t>
  </si>
  <si>
    <t>Baixa prioritat</t>
  </si>
  <si>
    <t>Validacio_equip</t>
  </si>
  <si>
    <t>Estat_actual_equip</t>
  </si>
  <si>
    <t>Usuari_reporta</t>
  </si>
  <si>
    <t>Tipus_problema</t>
  </si>
  <si>
    <t>Gravetat</t>
  </si>
  <si>
    <t>Urgencia</t>
  </si>
  <si>
    <t>Data_notificacio</t>
  </si>
  <si>
    <t>Garantia_vigent</t>
  </si>
  <si>
    <t>Estat_avaria</t>
  </si>
  <si>
    <t>CADUCADA</t>
  </si>
  <si>
    <t>VIGENT</t>
  </si>
  <si>
    <t>NO_APLICA</t>
  </si>
  <si>
    <t>Tipus_Equip</t>
  </si>
  <si>
    <t>Cost</t>
  </si>
  <si>
    <t>Ordinador</t>
  </si>
  <si>
    <t>Monitor</t>
  </si>
  <si>
    <t>Ratolí</t>
  </si>
  <si>
    <t>Impressora</t>
  </si>
  <si>
    <t>ID_Equip</t>
  </si>
  <si>
    <t>Marca</t>
  </si>
  <si>
    <t>Model</t>
  </si>
  <si>
    <t>Ubicació</t>
  </si>
  <si>
    <t>Prestable</t>
  </si>
  <si>
    <t>Estat</t>
  </si>
  <si>
    <t>Usuari_Actual</t>
  </si>
  <si>
    <t>Data_Prestec</t>
  </si>
  <si>
    <t>Data_Retorn_Prevista</t>
  </si>
  <si>
    <t>Dies_Endarreriment</t>
  </si>
  <si>
    <t>Data_Adquisicio</t>
  </si>
  <si>
    <t>Durada_Garantia_Mesos</t>
  </si>
  <si>
    <t>Numero_Avaries</t>
  </si>
  <si>
    <t>ProBook 450</t>
  </si>
  <si>
    <t xml:space="preserve">MAGATZEM </t>
  </si>
  <si>
    <t>SI</t>
  </si>
  <si>
    <t>Galaxy Tab S8</t>
  </si>
  <si>
    <t>Alpha 6000</t>
  </si>
  <si>
    <t>ThinkPad T14</t>
  </si>
  <si>
    <t>TAB004</t>
  </si>
  <si>
    <t>Galaxy Tab A8</t>
  </si>
  <si>
    <t>WD</t>
  </si>
  <si>
    <t>My Passport 4TB</t>
  </si>
  <si>
    <t>Accesoris</t>
  </si>
  <si>
    <t>Apple</t>
  </si>
  <si>
    <t>Magic Keyboard</t>
  </si>
  <si>
    <t>Galaxy Tab S9</t>
  </si>
  <si>
    <t>XPS 13</t>
  </si>
  <si>
    <t>Elements 2TB</t>
  </si>
  <si>
    <t>ThinkPad X1</t>
  </si>
  <si>
    <t>EliteDesk 800</t>
  </si>
  <si>
    <t>DESPATX_02</t>
  </si>
  <si>
    <t>NO</t>
  </si>
  <si>
    <t>Manteniment</t>
  </si>
  <si>
    <t>MON002</t>
  </si>
  <si>
    <t>E24 G5</t>
  </si>
  <si>
    <t>USB Keyboard</t>
  </si>
  <si>
    <t>USB Mouse</t>
  </si>
  <si>
    <t>Avariat</t>
  </si>
  <si>
    <t>No funciona b.d.</t>
  </si>
  <si>
    <t>ORD005</t>
  </si>
  <si>
    <t>OptiPlex 7090</t>
  </si>
  <si>
    <t>COMERCIAL_01</t>
  </si>
  <si>
    <t>MON007</t>
  </si>
  <si>
    <t>P2422H 24"</t>
  </si>
  <si>
    <t>TEC005</t>
  </si>
  <si>
    <t>KB216</t>
  </si>
  <si>
    <t>RAT005</t>
  </si>
  <si>
    <t>MS116</t>
  </si>
  <si>
    <t>ORD006</t>
  </si>
  <si>
    <t>COMERCIAL_02</t>
  </si>
  <si>
    <t>MON008</t>
  </si>
  <si>
    <t>TEC006</t>
  </si>
  <si>
    <t>RAT006</t>
  </si>
  <si>
    <t>ORD007</t>
  </si>
  <si>
    <t>ADMINISTRACIO_01</t>
  </si>
  <si>
    <t>MON009</t>
  </si>
  <si>
    <t>TEC007</t>
  </si>
  <si>
    <t>Logitech</t>
  </si>
  <si>
    <t>K120</t>
  </si>
  <si>
    <t>RAT007</t>
  </si>
  <si>
    <t>B100</t>
  </si>
  <si>
    <t>IMP001</t>
  </si>
  <si>
    <t>LaserJet Pro M404n</t>
  </si>
  <si>
    <t>Canon</t>
  </si>
  <si>
    <t>PIXMA G3470</t>
  </si>
  <si>
    <t>ENGINYERIA_02</t>
  </si>
  <si>
    <t>Capacitat impressió</t>
  </si>
  <si>
    <t>IMP003</t>
  </si>
  <si>
    <t>Brother</t>
  </si>
  <si>
    <t>HL-L2375DW</t>
  </si>
  <si>
    <t>ENGINYERIA_01</t>
  </si>
  <si>
    <t>Latitude 5520</t>
  </si>
  <si>
    <t>Disponible</t>
  </si>
  <si>
    <t>POR005</t>
  </si>
  <si>
    <t>EliteBook 840</t>
  </si>
  <si>
    <t>POR008</t>
  </si>
  <si>
    <t>ProBook 650</t>
  </si>
  <si>
    <t>POR009</t>
  </si>
  <si>
    <t>Latitude 7420</t>
  </si>
  <si>
    <t>POR011</t>
  </si>
  <si>
    <t>EliteBook 850</t>
  </si>
  <si>
    <t>DESPATX_DIRECCIO</t>
  </si>
  <si>
    <t>POR012</t>
  </si>
  <si>
    <t>XPS 15</t>
  </si>
  <si>
    <t>TAB003</t>
  </si>
  <si>
    <t>Air 5</t>
  </si>
  <si>
    <t>TAB005</t>
  </si>
  <si>
    <t>Pro 12.9"</t>
  </si>
  <si>
    <t>Microsoft</t>
  </si>
  <si>
    <t>Surface Pro 9</t>
  </si>
  <si>
    <t>TAB007</t>
  </si>
  <si>
    <t>Mini 6</t>
  </si>
  <si>
    <t>Bateria inflada</t>
  </si>
  <si>
    <t>MOB002</t>
  </si>
  <si>
    <t>Galaxy S23</t>
  </si>
  <si>
    <t>MOB004</t>
  </si>
  <si>
    <t>Galaxy A54</t>
  </si>
  <si>
    <t>MOB005</t>
  </si>
  <si>
    <t>13 Pro</t>
  </si>
  <si>
    <t>Pantalla i lateral trencat</t>
  </si>
  <si>
    <t>MOB006</t>
  </si>
  <si>
    <t>Xiaomi</t>
  </si>
  <si>
    <t>Redmi Note 12</t>
  </si>
  <si>
    <t>Seagate</t>
  </si>
  <si>
    <t>CAM001</t>
  </si>
  <si>
    <t>EOS M50</t>
  </si>
  <si>
    <t>CAM003</t>
  </si>
  <si>
    <t>GoPro</t>
  </si>
  <si>
    <t>Hero 11</t>
  </si>
  <si>
    <t>DJI</t>
  </si>
  <si>
    <t>Pocket 2</t>
  </si>
  <si>
    <t>Estabilitzador danyat</t>
  </si>
  <si>
    <t>Epson</t>
  </si>
  <si>
    <t>EB-2247U</t>
  </si>
  <si>
    <t>Cal canviar la làmpada</t>
  </si>
  <si>
    <t>ACC003</t>
  </si>
  <si>
    <t>Jabra</t>
  </si>
  <si>
    <t>Auriculars Evolve</t>
  </si>
  <si>
    <t>ACC004</t>
  </si>
  <si>
    <t>Webcam C920</t>
  </si>
  <si>
    <t>ACC005</t>
  </si>
  <si>
    <t>Base refrigerant</t>
  </si>
  <si>
    <t>ORD010</t>
  </si>
  <si>
    <t>Mac Mini M2</t>
  </si>
  <si>
    <t>DESPATX_01</t>
  </si>
  <si>
    <t>MON012</t>
  </si>
  <si>
    <t>LG</t>
  </si>
  <si>
    <t>UltraFine 27"</t>
  </si>
  <si>
    <t>TEC010</t>
  </si>
  <si>
    <t>RAT010</t>
  </si>
  <si>
    <t>Magic Mouse</t>
  </si>
  <si>
    <t>MON001</t>
  </si>
  <si>
    <t>TEC001</t>
  </si>
  <si>
    <t>RAT001</t>
  </si>
  <si>
    <t>Botó dret avariat</t>
  </si>
  <si>
    <t>POR001</t>
  </si>
  <si>
    <t>Hèctor?</t>
  </si>
  <si>
    <t>prestat a Hèctor?</t>
  </si>
  <si>
    <t>Pro 11"</t>
  </si>
  <si>
    <t>ACC001</t>
  </si>
  <si>
    <t>MX Master</t>
  </si>
  <si>
    <t>ORD003</t>
  </si>
  <si>
    <t>Thinkcentre M75S</t>
  </si>
  <si>
    <t>MON003</t>
  </si>
  <si>
    <t>UL500 27"</t>
  </si>
  <si>
    <t>Principal</t>
  </si>
  <si>
    <t>MON004</t>
  </si>
  <si>
    <t>24HN430H</t>
  </si>
  <si>
    <t>Secundari</t>
  </si>
  <si>
    <t>TEC008</t>
  </si>
  <si>
    <t>G915 TKL</t>
  </si>
  <si>
    <t>IT-01</t>
  </si>
  <si>
    <t>RAT009</t>
  </si>
  <si>
    <t>MX Master 3</t>
  </si>
  <si>
    <t>ORD004</t>
  </si>
  <si>
    <t>MON005</t>
  </si>
  <si>
    <t>Ppal</t>
  </si>
  <si>
    <t>24 MK430H 24"</t>
  </si>
  <si>
    <t>Píxels morts</t>
  </si>
  <si>
    <t>TEC004</t>
  </si>
  <si>
    <t>Corsair</t>
  </si>
  <si>
    <t>K70</t>
  </si>
  <si>
    <t>RAT004</t>
  </si>
  <si>
    <t>MON010</t>
  </si>
  <si>
    <t xml:space="preserve">P2422H 24"	</t>
  </si>
  <si>
    <t>ORD009</t>
  </si>
  <si>
    <t>Precision 3660</t>
  </si>
  <si>
    <t>Sala_Reunions_A</t>
  </si>
  <si>
    <t>MON011</t>
  </si>
  <si>
    <t>Odyssey G7 32"</t>
  </si>
  <si>
    <t>Thinkpad T16</t>
  </si>
  <si>
    <t>Comercial_04</t>
  </si>
  <si>
    <t>Apareix a la llista provisional sense codi</t>
  </si>
  <si>
    <t>DD004</t>
  </si>
  <si>
    <t>T7 1TB</t>
  </si>
  <si>
    <t>TEC0011</t>
  </si>
  <si>
    <t>Teclat gaming</t>
  </si>
  <si>
    <t>No se sap el model</t>
  </si>
  <si>
    <t>RAT008</t>
  </si>
  <si>
    <t>ORD008</t>
  </si>
  <si>
    <t>Falten codis!!</t>
  </si>
  <si>
    <t>Asus</t>
  </si>
  <si>
    <t>PA248QV 24"</t>
  </si>
  <si>
    <t>TEC012</t>
  </si>
  <si>
    <t>TEC009</t>
  </si>
  <si>
    <t>MX Keys</t>
  </si>
  <si>
    <t>PROJ001</t>
  </si>
  <si>
    <t>EB-X06</t>
  </si>
  <si>
    <t>Ús tipus de material</t>
  </si>
  <si>
    <t>PROJ002</t>
  </si>
  <si>
    <t>Benq</t>
  </si>
  <si>
    <t>MH555FHD</t>
  </si>
  <si>
    <t>Sala_Reunions_B</t>
  </si>
  <si>
    <t>Latitude</t>
  </si>
  <si>
    <t>Pendent actualitzar BIOS</t>
  </si>
  <si>
    <t>RAT011</t>
  </si>
  <si>
    <t>Codi_Equip</t>
  </si>
  <si>
    <t>Nom_Usuario</t>
  </si>
  <si>
    <t>Carrec_Usuario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</si>
</sst>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:ss"/>
    <numFmt numFmtId="165" formatCode="yyyy-mm-dd"/>
    <numFmt numFmtId="166" formatCode="dd/MM/yyyy"/>
    <numFmt numFmtId="167" formatCode="#,##0.00\ [$€-1]"/>
    <numFmt numFmtId="168" formatCode="d/m/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b/>
      <sz val="11.0"/>
      <color rgb="FFFFFFFF"/>
      <name val="Arial"/>
    </font>
    <font>
      <b/>
      <sz val="9.0"/>
      <color rgb="FFFFFFFF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sz val="11.0"/>
      <color rgb="FFFFFFFF"/>
      <name val="Arial"/>
    </font>
    <font>
      <sz val="11.0"/>
      <color theme="1"/>
      <name val="Arial"/>
      <scheme val="minor"/>
    </font>
    <font>
      <b/>
      <sz val="10.0"/>
      <color rgb="FFFFFFFF"/>
      <name val="Arial"/>
    </font>
    <font>
      <sz val="11.0"/>
      <color rgb="FF000000"/>
      <name val="Arial"/>
    </font>
    <font>
      <sz val="11.0"/>
      <color rgb="FF000000"/>
      <name val="&quot;Google Sans Text&quot;"/>
    </font>
    <font>
      <sz val="11.0"/>
      <color rgb="FF222222"/>
      <name val="Google Sans Text"/>
    </font>
    <font>
      <sz val="11.0"/>
      <color rgb="FF000000"/>
      <name val="Google Sans Text"/>
    </font>
    <font>
      <sz val="40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666666"/>
        <bgColor rgb="FF666666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741B47"/>
        <bgColor rgb="FF741B47"/>
      </patternFill>
    </fill>
    <fill>
      <patternFill patternType="solid">
        <fgColor rgb="FFD9D2E9"/>
        <bgColor rgb="FFD9D2E9"/>
      </patternFill>
    </fill>
    <fill>
      <patternFill patternType="solid">
        <fgColor rgb="FF134F5C"/>
        <bgColor rgb="FF134F5C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center" shrinkToFit="0" vertical="center" wrapText="0"/>
    </xf>
    <xf borderId="1" fillId="3" fontId="2" numFmtId="164" xfId="0" applyAlignment="1" applyBorder="1" applyFill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0" fontId="1" numFmtId="165" xfId="0" applyAlignment="1" applyBorder="1" applyFont="1" applyNumberFormat="1">
      <alignment horizontal="center" readingOrder="0" shrinkToFit="0" vertical="center" wrapText="0"/>
    </xf>
    <xf borderId="1" fillId="3" fontId="1" numFmtId="165" xfId="0" applyAlignment="1" applyBorder="1" applyFont="1" applyNumberFormat="1">
      <alignment horizontal="center" readingOrder="0" shrinkToFit="0" vertical="center" wrapText="0"/>
    </xf>
    <xf borderId="1" fillId="4" fontId="2" numFmtId="164" xfId="0" applyAlignment="1" applyBorder="1" applyFill="1" applyFont="1" applyNumberFormat="1">
      <alignment horizontal="center" shrinkToFit="0" vertical="center" wrapText="0"/>
    </xf>
    <xf borderId="1" fillId="5" fontId="3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0" fontId="1" numFmtId="165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3" fontId="1" numFmtId="164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6" fontId="5" numFmtId="0" xfId="0" applyAlignment="1" applyBorder="1" applyFill="1" applyFont="1">
      <alignment horizontal="center" readingOrder="0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1" fillId="0" fontId="1" numFmtId="166" xfId="0" applyBorder="1" applyFont="1" applyNumberFormat="1"/>
    <xf borderId="1" fillId="0" fontId="1" numFmtId="167" xfId="0" applyBorder="1" applyFont="1" applyNumberFormat="1"/>
    <xf borderId="0" fillId="0" fontId="1" numFmtId="168" xfId="0" applyAlignment="1" applyFont="1" applyNumberFormat="1">
      <alignment readingOrder="0"/>
    </xf>
    <xf borderId="0" fillId="7" fontId="6" numFmtId="0" xfId="0" applyAlignment="1" applyFill="1" applyFont="1">
      <alignment horizontal="center" readingOrder="0" shrinkToFit="0" textRotation="90" vertical="center" wrapText="1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0" fillId="6" fontId="7" numFmtId="0" xfId="0" applyAlignment="1" applyFont="1">
      <alignment readingOrder="0"/>
    </xf>
    <xf borderId="1" fillId="9" fontId="1" numFmtId="0" xfId="0" applyBorder="1" applyFont="1"/>
    <xf borderId="0" fillId="0" fontId="8" numFmtId="0" xfId="0" applyFont="1"/>
    <xf borderId="0" fillId="0" fontId="1" numFmtId="0" xfId="0" applyAlignment="1" applyFont="1">
      <alignment textRotation="90"/>
    </xf>
    <xf borderId="0" fillId="10" fontId="6" numFmtId="0" xfId="0" applyAlignment="1" applyFill="1" applyFont="1">
      <alignment horizontal="center" readingOrder="0" textRotation="90" vertical="center"/>
    </xf>
    <xf borderId="1" fillId="11" fontId="1" numFmtId="0" xfId="0" applyAlignment="1" applyBorder="1" applyFill="1" applyFont="1">
      <alignment readingOrder="0"/>
    </xf>
    <xf borderId="0" fillId="12" fontId="6" numFmtId="0" xfId="0" applyAlignment="1" applyFill="1" applyFont="1">
      <alignment horizontal="center" readingOrder="0" textRotation="90" vertical="center"/>
    </xf>
    <xf borderId="1" fillId="13" fontId="1" numFmtId="0" xfId="0" applyAlignment="1" applyBorder="1" applyFill="1" applyFont="1">
      <alignment readingOrder="0"/>
    </xf>
    <xf borderId="1" fillId="9" fontId="1" numFmtId="10" xfId="0" applyBorder="1" applyFont="1" applyNumberFormat="1"/>
    <xf borderId="0" fillId="14" fontId="6" numFmtId="0" xfId="0" applyAlignment="1" applyFill="1" applyFont="1">
      <alignment horizontal="center" readingOrder="0" shrinkToFit="0" textRotation="90" vertical="center" wrapText="1"/>
    </xf>
    <xf borderId="1" fillId="15" fontId="1" numFmtId="0" xfId="0" applyAlignment="1" applyBorder="1" applyFill="1" applyFont="1">
      <alignment readingOrder="0"/>
    </xf>
    <xf borderId="1" fillId="9" fontId="1" numFmtId="167" xfId="0" applyBorder="1" applyFont="1" applyNumberFormat="1"/>
    <xf borderId="0" fillId="0" fontId="1" numFmtId="0" xfId="0" applyAlignment="1" applyFont="1">
      <alignment horizontal="center"/>
    </xf>
    <xf borderId="0" fillId="16" fontId="6" numFmtId="0" xfId="0" applyAlignment="1" applyFill="1" applyFont="1">
      <alignment horizontal="center" readingOrder="0" shrinkToFit="0" textRotation="90" vertical="top" wrapText="1"/>
    </xf>
    <xf borderId="0" fillId="0" fontId="1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5" fontId="10" numFmtId="0" xfId="0" applyAlignment="1" applyBorder="1" applyFont="1">
      <alignment readingOrder="0"/>
    </xf>
    <xf borderId="1" fillId="17" fontId="1" numFmtId="0" xfId="0" applyBorder="1" applyFill="1" applyFont="1"/>
    <xf borderId="1" fillId="0" fontId="1" numFmtId="164" xfId="0" applyBorder="1" applyFont="1" applyNumberFormat="1"/>
    <xf borderId="1" fillId="17" fontId="11" numFmtId="0" xfId="0" applyBorder="1" applyFont="1"/>
    <xf borderId="1" fillId="6" fontId="12" numFmtId="0" xfId="0" applyAlignment="1" applyBorder="1" applyFont="1">
      <alignment horizontal="center" readingOrder="0"/>
    </xf>
    <xf borderId="1" fillId="0" fontId="13" numFmtId="0" xfId="0" applyAlignment="1" applyBorder="1" applyFont="1">
      <alignment readingOrder="0"/>
    </xf>
    <xf borderId="1" fillId="0" fontId="11" numFmtId="167" xfId="0" applyAlignment="1" applyBorder="1" applyFont="1" applyNumberFormat="1">
      <alignment readingOrder="0"/>
    </xf>
    <xf borderId="1" fillId="0" fontId="13" numFmtId="167" xfId="0" applyAlignment="1" applyBorder="1" applyFont="1" applyNumberFormat="1">
      <alignment readingOrder="0"/>
    </xf>
    <xf borderId="1" fillId="0" fontId="14" numFmtId="0" xfId="0" applyAlignment="1" applyBorder="1" applyFont="1">
      <alignment readingOrder="0"/>
    </xf>
    <xf borderId="1" fillId="0" fontId="14" numFmtId="165" xfId="0" applyAlignment="1" applyBorder="1" applyFont="1" applyNumberFormat="1">
      <alignment readingOrder="0"/>
    </xf>
    <xf borderId="1" fillId="0" fontId="14" numFmtId="0" xfId="0" applyBorder="1" applyFont="1"/>
    <xf borderId="1" fillId="0" fontId="14" numFmtId="0" xfId="0" applyBorder="1" applyFont="1"/>
    <xf borderId="1" fillId="2" fontId="15" numFmtId="0" xfId="0" applyAlignment="1" applyBorder="1" applyFont="1">
      <alignment readingOrder="0"/>
    </xf>
    <xf borderId="1" fillId="2" fontId="16" numFmtId="0" xfId="0" applyAlignment="1" applyBorder="1" applyFont="1">
      <alignment readingOrder="0"/>
    </xf>
    <xf borderId="1" fillId="0" fontId="14" numFmtId="165" xfId="0" applyBorder="1" applyFont="1" applyNumberFormat="1"/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FF0000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</dxfs>
  <tableStyles count="6">
    <tableStyle count="4" pivot="0" name="SOL_LICITUDS_PRESTE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APROVACIONS_AUTO-style">
      <tableStyleElement dxfId="2" type="firstRowStripe"/>
      <tableStyleElement dxfId="3" type="secondRowStripe"/>
    </tableStyle>
    <tableStyle count="4" pivot="0" name="RETORN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TORNADES_AUTO-style">
      <tableStyleElement dxfId="2" type="firstRowStripe"/>
      <tableStyleElement dxfId="3" type="secondRowStripe"/>
    </tableStyle>
    <tableStyle count="2" pivot="0" name="REPARACIONS-style">
      <tableStyleElement dxfId="2" type="firstRowStripe"/>
      <tableStyleElement dxfId="3" type="secondRowStripe"/>
    </tableStyle>
    <tableStyle count="4" pivot="0" name="AVAR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Dashboard!$B$24:$B$28</c:f>
            </c:strRef>
          </c:cat>
          <c:val>
            <c:numRef>
              <c:f>Dashboard!$C$24:$C$28</c:f>
              <c:numCache/>
            </c:numRef>
          </c:val>
        </c:ser>
        <c:axId val="1920310113"/>
        <c:axId val="1937532917"/>
      </c:barChart>
      <c:catAx>
        <c:axId val="19203101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532917"/>
      </c:catAx>
      <c:valAx>
        <c:axId val="19375329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031011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Dashboard!$B$18:$B$22</c:f>
            </c:strRef>
          </c:cat>
          <c:val>
            <c:numRef>
              <c:f>Dashboard!$C$18:$C$22</c:f>
              <c:numCache/>
            </c:numRef>
          </c:val>
        </c:ser>
        <c:axId val="1552106525"/>
        <c:axId val="345604801"/>
      </c:barChart>
      <c:catAx>
        <c:axId val="15521065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604801"/>
      </c:catAx>
      <c:valAx>
        <c:axId val="3456048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21065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Dashboard!$B$3:$B$9</c:f>
            </c:strRef>
          </c:cat>
          <c:val>
            <c:numRef>
              <c:f>Dashboard!$C$3:$C$9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23</xdr:row>
      <xdr:rowOff>19050</xdr:rowOff>
    </xdr:from>
    <xdr:ext cx="6886575" cy="1200150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66675</xdr:colOff>
      <xdr:row>16</xdr:row>
      <xdr:rowOff>38100</xdr:rowOff>
    </xdr:from>
    <xdr:ext cx="6886575" cy="1276350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66675</xdr:colOff>
      <xdr:row>0</xdr:row>
      <xdr:rowOff>85725</xdr:rowOff>
    </xdr:from>
    <xdr:ext cx="5057775" cy="3152775"/>
    <xdr:graphicFrame>
      <xdr:nvGraphicFramePr>
        <xdr:cNvPr id="3" name="Chart 3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31" displayName="Form_Responses" name="Form_Responses" id="1">
  <tableColumns count="11">
    <tableColumn name="Marca de temps" id="1"/>
    <tableColumn name="Marca_temps" id="2"/>
    <tableColumn name="Adreça_correu" id="3"/>
    <tableColumn name=" Codi_usuari" id="4"/>
    <tableColumn name="Tipus_equip" id="5"/>
    <tableColumn name="Model_preferit" id="6"/>
    <tableColumn name="Data_inici" id="7"/>
    <tableColumn name="Data_retorn" id="8"/>
    <tableColumn name="Motiu" id="9"/>
    <tableColumn name="Observacions" id="10"/>
    <tableColumn name="Adreça electrònica" id="11"/>
  </tableColumns>
  <tableStyleInfo name="SOL_LICITUDS_PRESTEC-style" showColumnStripes="0" showFirstColumn="1" showLastColumn="1" showRowStripes="1"/>
</table>
</file>

<file path=xl/tables/table2.xml><?xml version="1.0" encoding="utf-8"?>
<table xmlns="http://schemas.openxmlformats.org/spreadsheetml/2006/main" headerRowCount="0" ref="D2:D31" displayName="Table_1" name="Table_1" id="2">
  <tableColumns count="1">
    <tableColumn name="Column1" id="1"/>
  </tableColumns>
  <tableStyleInfo name="APROVACIONS_AUTO-style" showColumnStripes="0" showFirstColumn="1" showLastColumn="1" showRowStripes="1"/>
</table>
</file>

<file path=xl/tables/table3.xml><?xml version="1.0" encoding="utf-8"?>
<table xmlns="http://schemas.openxmlformats.org/spreadsheetml/2006/main" ref="A1:H16" displayName="Form_Responses3" name="Form_Responses3" id="3">
  <tableColumns count="8">
    <tableColumn name="Marca de temps" id="1"/>
    <tableColumn name="Marca_temps" id="2"/>
    <tableColumn name="Adreça_correu" id="3"/>
    <tableColumn name="Codi_equip" id="4"/>
    <tableColumn name="Estat_retornada" id="5"/>
    <tableColumn name="Comentaris" id="6"/>
    <tableColumn name="Confirmat" id="7"/>
    <tableColumn name="Adreça electrònica" id="8"/>
  </tableColumns>
  <tableStyleInfo name="RETORNADES-style" showColumnStripes="0" showFirstColumn="1" showLastColumn="1" showRowStripes="1"/>
</table>
</file>

<file path=xl/tables/table4.xml><?xml version="1.0" encoding="utf-8"?>
<table xmlns="http://schemas.openxmlformats.org/spreadsheetml/2006/main" headerRowCount="0" ref="A2:A16" displayName="Table_2" name="Table_2" id="4">
  <tableColumns count="1">
    <tableColumn name="Column1" id="1"/>
  </tableColumns>
  <tableStyleInfo name="RETORNADES_AUTO-style" showColumnStripes="0" showFirstColumn="1" showLastColumn="1" showRowStripes="1"/>
</table>
</file>

<file path=xl/tables/table5.xml><?xml version="1.0" encoding="utf-8"?>
<table xmlns="http://schemas.openxmlformats.org/spreadsheetml/2006/main" headerRowCount="0" ref="H2:H14" displayName="Table_3" name="Table_3" id="5">
  <tableColumns count="1">
    <tableColumn name="Column1" id="1"/>
  </tableColumns>
  <tableStyleInfo name="REPARACIONS-style" showColumnStripes="0" showFirstColumn="1" showLastColumn="1" showRowStripes="1"/>
</table>
</file>

<file path=xl/tables/table6.xml><?xml version="1.0" encoding="utf-8"?>
<table xmlns="http://schemas.openxmlformats.org/spreadsheetml/2006/main" ref="A1:J14" displayName="Form_Responses2" name="Form_Responses2" id="6">
  <tableColumns count="10">
    <tableColumn name="Marca de temps" id="1"/>
    <tableColumn name="Adreça electrònica" id="2"/>
    <tableColumn name="Codi de l'equip avariat" id="3"/>
    <tableColumn name="Usuari que reporta" id="4"/>
    <tableColumn name="Tipus de problema" id="5"/>
    <tableColumn name="Descripció detallada del problema " id="6"/>
    <tableColumn name="Quan vas detectar el problema?" id="7"/>
    <tableColumn name="L'equip estava en préstec? " id="8"/>
    <tableColumn name="Gravetat del problema" id="9"/>
    <tableColumn name="És urgent la reparació?" id="10"/>
  </tableColumns>
  <tableStyleInfo name="AVAR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0.25"/>
    <col customWidth="1" min="4" max="10" width="18.88"/>
    <col customWidth="1" min="11" max="11" width="22.88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2.5" customHeight="1">
      <c r="A2" s="4">
        <v>45698.38568287037</v>
      </c>
      <c r="B2" s="5">
        <v>45698.38568287037</v>
      </c>
      <c r="C2" s="6" t="s">
        <v>11</v>
      </c>
      <c r="D2" s="7" t="s">
        <v>12</v>
      </c>
      <c r="E2" s="6" t="s">
        <v>13</v>
      </c>
      <c r="F2" s="7" t="s">
        <v>14</v>
      </c>
      <c r="G2" s="8">
        <v>45699.0</v>
      </c>
      <c r="H2" s="9">
        <v>45713.0</v>
      </c>
      <c r="I2" s="6" t="s">
        <v>15</v>
      </c>
      <c r="J2" s="7" t="s">
        <v>16</v>
      </c>
      <c r="K2" s="6" t="s">
        <v>11</v>
      </c>
    </row>
    <row r="3" ht="22.5" customHeight="1">
      <c r="A3" s="10">
        <v>45698.39769675926</v>
      </c>
      <c r="B3" s="5">
        <v>45698.39769675926</v>
      </c>
      <c r="C3" s="6" t="s">
        <v>17</v>
      </c>
      <c r="D3" s="7" t="s">
        <v>18</v>
      </c>
      <c r="E3" s="6" t="s">
        <v>19</v>
      </c>
      <c r="F3" s="9"/>
      <c r="G3" s="8">
        <v>45700.0</v>
      </c>
      <c r="H3" s="9">
        <v>45707.0</v>
      </c>
      <c r="I3" s="6" t="s">
        <v>20</v>
      </c>
      <c r="J3" s="7" t="s">
        <v>21</v>
      </c>
      <c r="K3" s="6" t="s">
        <v>17</v>
      </c>
    </row>
    <row r="4" ht="22.5" customHeight="1">
      <c r="A4" s="4">
        <v>45698.42034722222</v>
      </c>
      <c r="B4" s="5">
        <v>45698.42034722222</v>
      </c>
      <c r="C4" s="6" t="s">
        <v>22</v>
      </c>
      <c r="D4" s="7" t="s">
        <v>23</v>
      </c>
      <c r="E4" s="6" t="s">
        <v>24</v>
      </c>
      <c r="F4" s="7" t="s">
        <v>25</v>
      </c>
      <c r="G4" s="8">
        <v>45698.0</v>
      </c>
      <c r="H4" s="9">
        <v>45699.0</v>
      </c>
      <c r="I4" s="6" t="s">
        <v>26</v>
      </c>
      <c r="J4" s="7" t="s">
        <v>27</v>
      </c>
      <c r="K4" s="6" t="s">
        <v>22</v>
      </c>
    </row>
    <row r="5" ht="22.5" customHeight="1">
      <c r="A5" s="10">
        <v>45698.474027777775</v>
      </c>
      <c r="B5" s="5">
        <v>45698.474027777775</v>
      </c>
      <c r="C5" s="6" t="s">
        <v>28</v>
      </c>
      <c r="D5" s="7" t="s">
        <v>29</v>
      </c>
      <c r="E5" s="6" t="s">
        <v>13</v>
      </c>
      <c r="F5" s="7" t="s">
        <v>30</v>
      </c>
      <c r="G5" s="8">
        <v>45701.0</v>
      </c>
      <c r="H5" s="9">
        <v>45715.0</v>
      </c>
      <c r="I5" s="6" t="s">
        <v>31</v>
      </c>
      <c r="J5" s="7" t="s">
        <v>32</v>
      </c>
      <c r="K5" s="6" t="s">
        <v>28</v>
      </c>
    </row>
    <row r="6" ht="22.5" customHeight="1">
      <c r="A6" s="4">
        <v>45698.59643518519</v>
      </c>
      <c r="B6" s="5">
        <v>45698.59643518519</v>
      </c>
      <c r="C6" s="6" t="s">
        <v>33</v>
      </c>
      <c r="D6" s="7" t="s">
        <v>34</v>
      </c>
      <c r="E6" s="6" t="s">
        <v>35</v>
      </c>
      <c r="F6" s="9"/>
      <c r="G6" s="8">
        <v>45702.0</v>
      </c>
      <c r="H6" s="9">
        <v>45703.0</v>
      </c>
      <c r="I6" s="6" t="s">
        <v>36</v>
      </c>
      <c r="J6" s="7" t="s">
        <v>37</v>
      </c>
      <c r="K6" s="6" t="s">
        <v>33</v>
      </c>
    </row>
    <row r="7" ht="22.5" customHeight="1">
      <c r="A7" s="10">
        <v>45698.65644675926</v>
      </c>
      <c r="B7" s="5">
        <v>45698.65644675926</v>
      </c>
      <c r="C7" s="6" t="s">
        <v>38</v>
      </c>
      <c r="D7" s="7" t="s">
        <v>39</v>
      </c>
      <c r="E7" s="6" t="s">
        <v>40</v>
      </c>
      <c r="F7" s="7" t="s">
        <v>41</v>
      </c>
      <c r="G7" s="8">
        <v>45699.0</v>
      </c>
      <c r="H7" s="9">
        <v>45727.0</v>
      </c>
      <c r="I7" s="6" t="s">
        <v>31</v>
      </c>
      <c r="J7" s="7" t="s">
        <v>42</v>
      </c>
      <c r="K7" s="6" t="s">
        <v>38</v>
      </c>
    </row>
    <row r="8" ht="22.5" customHeight="1">
      <c r="A8" s="4">
        <v>45698.6896875</v>
      </c>
      <c r="B8" s="5">
        <v>45698.6896875</v>
      </c>
      <c r="C8" s="6" t="s">
        <v>43</v>
      </c>
      <c r="D8" s="7" t="s">
        <v>44</v>
      </c>
      <c r="E8" s="6" t="s">
        <v>13</v>
      </c>
      <c r="F8" s="7" t="s">
        <v>45</v>
      </c>
      <c r="G8" s="8">
        <v>45700.0</v>
      </c>
      <c r="H8" s="9">
        <v>45714.0</v>
      </c>
      <c r="I8" s="6" t="s">
        <v>26</v>
      </c>
      <c r="J8" s="7" t="s">
        <v>46</v>
      </c>
      <c r="K8" s="6" t="s">
        <v>43</v>
      </c>
    </row>
    <row r="9" ht="22.5" customHeight="1">
      <c r="A9" s="10">
        <v>45699.36483796296</v>
      </c>
      <c r="B9" s="5">
        <v>45699.36483796296</v>
      </c>
      <c r="C9" s="6" t="s">
        <v>47</v>
      </c>
      <c r="D9" s="7" t="s">
        <v>48</v>
      </c>
      <c r="E9" s="6" t="s">
        <v>19</v>
      </c>
      <c r="F9" s="7" t="s">
        <v>49</v>
      </c>
      <c r="G9" s="8">
        <v>45701.0</v>
      </c>
      <c r="H9" s="9">
        <v>45708.0</v>
      </c>
      <c r="I9" s="6" t="s">
        <v>15</v>
      </c>
      <c r="J9" s="7" t="s">
        <v>50</v>
      </c>
      <c r="K9" s="6" t="s">
        <v>47</v>
      </c>
    </row>
    <row r="10" ht="22.5" customHeight="1">
      <c r="A10" s="4">
        <v>45699.38579861111</v>
      </c>
      <c r="B10" s="5">
        <v>45699.38579861111</v>
      </c>
      <c r="C10" s="6" t="s">
        <v>51</v>
      </c>
      <c r="D10" s="7" t="s">
        <v>52</v>
      </c>
      <c r="E10" s="6" t="s">
        <v>24</v>
      </c>
      <c r="F10" s="9"/>
      <c r="G10" s="8">
        <v>45699.0</v>
      </c>
      <c r="H10" s="9">
        <v>45706.0</v>
      </c>
      <c r="I10" s="6" t="s">
        <v>53</v>
      </c>
      <c r="J10" s="7" t="s">
        <v>54</v>
      </c>
      <c r="K10" s="6" t="s">
        <v>51</v>
      </c>
    </row>
    <row r="11" ht="22.5" customHeight="1">
      <c r="A11" s="10">
        <v>45699.436585648145</v>
      </c>
      <c r="B11" s="5">
        <v>45699.436585648145</v>
      </c>
      <c r="C11" s="6" t="s">
        <v>55</v>
      </c>
      <c r="D11" s="7" t="s">
        <v>56</v>
      </c>
      <c r="E11" s="6" t="s">
        <v>57</v>
      </c>
      <c r="F11" s="7" t="s">
        <v>58</v>
      </c>
      <c r="G11" s="8">
        <v>45702.0</v>
      </c>
      <c r="H11" s="9">
        <v>45730.0</v>
      </c>
      <c r="I11" s="6" t="s">
        <v>20</v>
      </c>
      <c r="J11" s="7" t="s">
        <v>59</v>
      </c>
      <c r="K11" s="6" t="s">
        <v>55</v>
      </c>
    </row>
    <row r="12" ht="22.5" customHeight="1">
      <c r="A12" s="4">
        <v>45699.482835648145</v>
      </c>
      <c r="B12" s="5">
        <v>45699.482835648145</v>
      </c>
      <c r="C12" s="6" t="s">
        <v>60</v>
      </c>
      <c r="D12" s="7" t="s">
        <v>61</v>
      </c>
      <c r="E12" s="6" t="s">
        <v>19</v>
      </c>
      <c r="F12" s="7" t="s">
        <v>62</v>
      </c>
      <c r="G12" s="8">
        <v>45703.0</v>
      </c>
      <c r="H12" s="9">
        <v>45717.0</v>
      </c>
      <c r="I12" s="6" t="s">
        <v>36</v>
      </c>
      <c r="J12" s="7" t="s">
        <v>63</v>
      </c>
      <c r="K12" s="6" t="s">
        <v>60</v>
      </c>
    </row>
    <row r="13" ht="22.5" customHeight="1">
      <c r="A13" s="10">
        <v>45699.57150462963</v>
      </c>
      <c r="B13" s="5">
        <v>45699.57150462963</v>
      </c>
      <c r="C13" s="6" t="s">
        <v>64</v>
      </c>
      <c r="D13" s="7" t="s">
        <v>65</v>
      </c>
      <c r="E13" s="6" t="s">
        <v>13</v>
      </c>
      <c r="F13" s="9"/>
      <c r="G13" s="8">
        <v>45705.0</v>
      </c>
      <c r="H13" s="9">
        <v>45719.0</v>
      </c>
      <c r="I13" s="6" t="s">
        <v>31</v>
      </c>
      <c r="J13" s="7" t="s">
        <v>66</v>
      </c>
      <c r="K13" s="6" t="s">
        <v>64</v>
      </c>
    </row>
    <row r="14" ht="22.5" customHeight="1">
      <c r="A14" s="4">
        <v>45699.599027777775</v>
      </c>
      <c r="B14" s="5">
        <v>45699.599027777775</v>
      </c>
      <c r="C14" s="6" t="s">
        <v>67</v>
      </c>
      <c r="D14" s="7" t="s">
        <v>68</v>
      </c>
      <c r="E14" s="6" t="s">
        <v>24</v>
      </c>
      <c r="F14" s="7" t="s">
        <v>69</v>
      </c>
      <c r="G14" s="8">
        <v>45699.0</v>
      </c>
      <c r="H14" s="9">
        <v>45706.0</v>
      </c>
      <c r="I14" s="6" t="s">
        <v>53</v>
      </c>
      <c r="J14" s="7" t="s">
        <v>70</v>
      </c>
      <c r="K14" s="6" t="s">
        <v>67</v>
      </c>
    </row>
    <row r="15" ht="22.5" customHeight="1">
      <c r="A15" s="10">
        <v>45699.638020833336</v>
      </c>
      <c r="B15" s="5">
        <v>45699.638020833336</v>
      </c>
      <c r="C15" s="6" t="s">
        <v>71</v>
      </c>
      <c r="D15" s="7" t="s">
        <v>72</v>
      </c>
      <c r="E15" s="6" t="s">
        <v>13</v>
      </c>
      <c r="F15" s="7" t="s">
        <v>73</v>
      </c>
      <c r="G15" s="8">
        <v>45706.0</v>
      </c>
      <c r="H15" s="9">
        <v>45713.0</v>
      </c>
      <c r="I15" s="6" t="s">
        <v>15</v>
      </c>
      <c r="J15" s="7" t="s">
        <v>74</v>
      </c>
      <c r="K15" s="6" t="s">
        <v>71</v>
      </c>
    </row>
    <row r="16" ht="22.5" customHeight="1">
      <c r="A16" s="4">
        <v>45699.701527777775</v>
      </c>
      <c r="B16" s="5">
        <v>45699.701527777775</v>
      </c>
      <c r="C16" s="6" t="s">
        <v>75</v>
      </c>
      <c r="D16" s="7" t="s">
        <v>76</v>
      </c>
      <c r="E16" s="6" t="s">
        <v>13</v>
      </c>
      <c r="F16" s="7" t="s">
        <v>14</v>
      </c>
      <c r="G16" s="8">
        <v>45707.0</v>
      </c>
      <c r="H16" s="9">
        <v>45721.0</v>
      </c>
      <c r="I16" s="6" t="s">
        <v>36</v>
      </c>
      <c r="J16" s="7" t="s">
        <v>77</v>
      </c>
      <c r="K16" s="6" t="s">
        <v>75</v>
      </c>
    </row>
    <row r="17" ht="22.5" customHeight="1">
      <c r="A17" s="10">
        <v>45700.392800925925</v>
      </c>
      <c r="B17" s="5">
        <v>45700.392800925925</v>
      </c>
      <c r="C17" s="6" t="s">
        <v>78</v>
      </c>
      <c r="D17" s="7" t="s">
        <v>79</v>
      </c>
      <c r="E17" s="6" t="s">
        <v>35</v>
      </c>
      <c r="F17" s="7" t="s">
        <v>80</v>
      </c>
      <c r="G17" s="8">
        <v>45708.0</v>
      </c>
      <c r="H17" s="9">
        <v>45715.0</v>
      </c>
      <c r="I17" s="6" t="s">
        <v>53</v>
      </c>
      <c r="J17" s="7" t="s">
        <v>81</v>
      </c>
      <c r="K17" s="6" t="s">
        <v>78</v>
      </c>
    </row>
    <row r="18" ht="22.5" customHeight="1">
      <c r="A18" s="4">
        <v>45700.425520833334</v>
      </c>
      <c r="B18" s="5">
        <v>45700.425520833334</v>
      </c>
      <c r="C18" s="6" t="s">
        <v>82</v>
      </c>
      <c r="D18" s="7" t="s">
        <v>83</v>
      </c>
      <c r="E18" s="6" t="s">
        <v>13</v>
      </c>
      <c r="F18" s="9"/>
      <c r="G18" s="8">
        <v>45709.0</v>
      </c>
      <c r="H18" s="9">
        <v>45723.0</v>
      </c>
      <c r="I18" s="6" t="s">
        <v>20</v>
      </c>
      <c r="J18" s="7" t="s">
        <v>84</v>
      </c>
      <c r="K18" s="6" t="s">
        <v>82</v>
      </c>
    </row>
    <row r="19" ht="22.5" customHeight="1">
      <c r="A19" s="10">
        <v>45700.484918981485</v>
      </c>
      <c r="B19" s="5">
        <v>45700.484918981485</v>
      </c>
      <c r="C19" s="6" t="s">
        <v>85</v>
      </c>
      <c r="D19" s="7" t="s">
        <v>86</v>
      </c>
      <c r="E19" s="6" t="s">
        <v>40</v>
      </c>
      <c r="F19" s="7" t="s">
        <v>49</v>
      </c>
      <c r="G19" s="8">
        <v>45712.0</v>
      </c>
      <c r="H19" s="9">
        <v>45726.0</v>
      </c>
      <c r="I19" s="6" t="s">
        <v>31</v>
      </c>
      <c r="J19" s="7" t="s">
        <v>87</v>
      </c>
      <c r="K19" s="6" t="s">
        <v>85</v>
      </c>
    </row>
    <row r="20" ht="22.5" customHeight="1">
      <c r="A20" s="4">
        <v>45700.557534722226</v>
      </c>
      <c r="B20" s="5">
        <v>45700.557534722226</v>
      </c>
      <c r="C20" s="6" t="s">
        <v>88</v>
      </c>
      <c r="D20" s="7" t="s">
        <v>89</v>
      </c>
      <c r="E20" s="6" t="s">
        <v>19</v>
      </c>
      <c r="F20" s="9"/>
      <c r="G20" s="8">
        <v>45713.0</v>
      </c>
      <c r="H20" s="9">
        <v>45719.0</v>
      </c>
      <c r="I20" s="6" t="s">
        <v>53</v>
      </c>
      <c r="J20" s="7" t="s">
        <v>90</v>
      </c>
      <c r="K20" s="6" t="s">
        <v>88</v>
      </c>
    </row>
    <row r="21" ht="22.5" customHeight="1">
      <c r="A21" s="10">
        <v>45700.61704861111</v>
      </c>
      <c r="B21" s="5">
        <v>45700.61704861111</v>
      </c>
      <c r="C21" s="6" t="s">
        <v>91</v>
      </c>
      <c r="D21" s="7" t="s">
        <v>92</v>
      </c>
      <c r="E21" s="6" t="s">
        <v>13</v>
      </c>
      <c r="F21" s="7" t="s">
        <v>45</v>
      </c>
      <c r="G21" s="8">
        <v>45714.0</v>
      </c>
      <c r="H21" s="9">
        <v>45728.0</v>
      </c>
      <c r="I21" s="6" t="s">
        <v>36</v>
      </c>
      <c r="J21" s="7" t="s">
        <v>93</v>
      </c>
      <c r="K21" s="6" t="s">
        <v>91</v>
      </c>
    </row>
    <row r="22" ht="22.5" customHeight="1">
      <c r="A22" s="4">
        <v>45700.63574074074</v>
      </c>
      <c r="B22" s="5">
        <v>45700.63574074074</v>
      </c>
      <c r="C22" s="6" t="s">
        <v>94</v>
      </c>
      <c r="D22" s="7" t="s">
        <v>95</v>
      </c>
      <c r="E22" s="6" t="s">
        <v>19</v>
      </c>
      <c r="F22" s="7" t="s">
        <v>62</v>
      </c>
      <c r="G22" s="8">
        <v>45699.0</v>
      </c>
      <c r="H22" s="9">
        <v>45706.0</v>
      </c>
      <c r="I22" s="6" t="s">
        <v>15</v>
      </c>
      <c r="J22" s="7" t="s">
        <v>96</v>
      </c>
      <c r="K22" s="6" t="s">
        <v>94</v>
      </c>
    </row>
    <row r="23" ht="22.5" customHeight="1">
      <c r="A23" s="10">
        <v>45700.670625</v>
      </c>
      <c r="B23" s="5">
        <v>45700.670625</v>
      </c>
      <c r="C23" s="6" t="s">
        <v>97</v>
      </c>
      <c r="D23" s="7" t="s">
        <v>98</v>
      </c>
      <c r="E23" s="6" t="s">
        <v>13</v>
      </c>
      <c r="F23" s="9"/>
      <c r="G23" s="8">
        <v>45715.0</v>
      </c>
      <c r="H23" s="9">
        <v>45722.0</v>
      </c>
      <c r="I23" s="6" t="s">
        <v>20</v>
      </c>
      <c r="J23" s="7" t="s">
        <v>99</v>
      </c>
      <c r="K23" s="6" t="s">
        <v>97</v>
      </c>
    </row>
    <row r="24" ht="22.5" customHeight="1">
      <c r="A24" s="4">
        <v>45701.38791666667</v>
      </c>
      <c r="B24" s="5">
        <v>45701.38791666667</v>
      </c>
      <c r="C24" s="6" t="s">
        <v>100</v>
      </c>
      <c r="D24" s="7" t="s">
        <v>101</v>
      </c>
      <c r="E24" s="6" t="s">
        <v>57</v>
      </c>
      <c r="F24" s="7" t="s">
        <v>102</v>
      </c>
      <c r="G24" s="8">
        <v>45716.0</v>
      </c>
      <c r="H24" s="9">
        <v>45730.0</v>
      </c>
      <c r="I24" s="6" t="s">
        <v>20</v>
      </c>
      <c r="J24" s="7" t="s">
        <v>103</v>
      </c>
      <c r="K24" s="6" t="s">
        <v>100</v>
      </c>
    </row>
    <row r="25" ht="22.5" customHeight="1">
      <c r="A25" s="10">
        <v>45701.44813657407</v>
      </c>
      <c r="B25" s="5">
        <v>45701.44813657407</v>
      </c>
      <c r="C25" s="6" t="s">
        <v>104</v>
      </c>
      <c r="D25" s="7" t="s">
        <v>105</v>
      </c>
      <c r="E25" s="6" t="s">
        <v>13</v>
      </c>
      <c r="F25" s="7" t="s">
        <v>14</v>
      </c>
      <c r="G25" s="8">
        <v>45719.0</v>
      </c>
      <c r="H25" s="9">
        <v>45733.0</v>
      </c>
      <c r="I25" s="6" t="s">
        <v>31</v>
      </c>
      <c r="J25" s="7" t="s">
        <v>106</v>
      </c>
      <c r="K25" s="6" t="s">
        <v>104</v>
      </c>
    </row>
    <row r="26" ht="22.5" customHeight="1">
      <c r="A26" s="4">
        <v>45701.47415509259</v>
      </c>
      <c r="B26" s="5">
        <v>45701.47415509259</v>
      </c>
      <c r="C26" s="6" t="s">
        <v>11</v>
      </c>
      <c r="D26" s="7" t="s">
        <v>12</v>
      </c>
      <c r="E26" s="6" t="s">
        <v>19</v>
      </c>
      <c r="F26" s="7" t="s">
        <v>62</v>
      </c>
      <c r="G26" s="8">
        <v>45702.0</v>
      </c>
      <c r="H26" s="9">
        <v>45709.0</v>
      </c>
      <c r="I26" s="6" t="s">
        <v>15</v>
      </c>
      <c r="J26" s="7" t="s">
        <v>107</v>
      </c>
      <c r="K26" s="6" t="s">
        <v>11</v>
      </c>
    </row>
    <row r="27" ht="22.5" customHeight="1">
      <c r="A27" s="10">
        <v>45701.568657407406</v>
      </c>
      <c r="B27" s="5">
        <v>45701.568657407406</v>
      </c>
      <c r="C27" s="6" t="s">
        <v>11</v>
      </c>
      <c r="D27" s="7" t="s">
        <v>12</v>
      </c>
      <c r="E27" s="6" t="s">
        <v>13</v>
      </c>
      <c r="F27" s="7" t="s">
        <v>108</v>
      </c>
      <c r="G27" s="8">
        <v>45703.0</v>
      </c>
      <c r="H27" s="9">
        <v>45710.0</v>
      </c>
      <c r="I27" s="6" t="s">
        <v>31</v>
      </c>
      <c r="J27" s="7" t="s">
        <v>109</v>
      </c>
      <c r="K27" s="6" t="s">
        <v>11</v>
      </c>
    </row>
    <row r="28" ht="22.5" customHeight="1">
      <c r="A28" s="4">
        <v>45701.61965277778</v>
      </c>
      <c r="B28" s="5">
        <v>45701.61965277778</v>
      </c>
      <c r="C28" s="6" t="s">
        <v>43</v>
      </c>
      <c r="D28" s="7" t="s">
        <v>44</v>
      </c>
      <c r="E28" s="6" t="s">
        <v>19</v>
      </c>
      <c r="F28" s="9"/>
      <c r="G28" s="8">
        <v>45704.0</v>
      </c>
      <c r="H28" s="9">
        <v>45711.0</v>
      </c>
      <c r="I28" s="6" t="s">
        <v>53</v>
      </c>
      <c r="J28" s="7" t="s">
        <v>110</v>
      </c>
      <c r="K28" s="6" t="s">
        <v>43</v>
      </c>
    </row>
    <row r="29" ht="22.5" customHeight="1">
      <c r="A29" s="10">
        <v>45701.644837962966</v>
      </c>
      <c r="B29" s="5">
        <v>45701.644837962966</v>
      </c>
      <c r="C29" s="6" t="s">
        <v>22</v>
      </c>
      <c r="D29" s="7" t="s">
        <v>23</v>
      </c>
      <c r="E29" s="6" t="s">
        <v>13</v>
      </c>
      <c r="F29" s="9"/>
      <c r="G29" s="8">
        <v>45708.0</v>
      </c>
      <c r="H29" s="9">
        <v>45703.0</v>
      </c>
      <c r="I29" s="6" t="s">
        <v>15</v>
      </c>
      <c r="J29" s="7" t="s">
        <v>111</v>
      </c>
      <c r="K29" s="6" t="s">
        <v>22</v>
      </c>
    </row>
    <row r="30" ht="22.5" customHeight="1">
      <c r="A30" s="4">
        <v>45701.67755787037</v>
      </c>
      <c r="B30" s="5">
        <v>45701.67755787037</v>
      </c>
      <c r="C30" s="6" t="s">
        <v>38</v>
      </c>
      <c r="D30" s="7" t="s">
        <v>39</v>
      </c>
      <c r="E30" s="6" t="s">
        <v>13</v>
      </c>
      <c r="F30" s="9"/>
      <c r="G30" s="8">
        <v>45705.0</v>
      </c>
      <c r="H30" s="9">
        <v>45719.0</v>
      </c>
      <c r="I30" s="6" t="s">
        <v>20</v>
      </c>
      <c r="J30" s="7" t="s">
        <v>110</v>
      </c>
      <c r="K30" s="6" t="s">
        <v>38</v>
      </c>
    </row>
    <row r="31" ht="22.5" customHeight="1">
      <c r="A31" s="10">
        <v>45701.7121412037</v>
      </c>
      <c r="B31" s="5">
        <v>45701.7121412037</v>
      </c>
      <c r="C31" s="6" t="s">
        <v>33</v>
      </c>
      <c r="D31" s="7" t="s">
        <v>34</v>
      </c>
      <c r="E31" s="6" t="s">
        <v>112</v>
      </c>
      <c r="F31" s="9"/>
      <c r="G31" s="8">
        <v>45706.0</v>
      </c>
      <c r="H31" s="9">
        <v>45707.0</v>
      </c>
      <c r="I31" s="6" t="s">
        <v>15</v>
      </c>
      <c r="J31" s="7" t="s">
        <v>113</v>
      </c>
      <c r="K31" s="6" t="s">
        <v>33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7.5"/>
    <col customWidth="1" min="3" max="3" width="18.5"/>
    <col customWidth="1" min="4" max="4" width="21.13"/>
    <col customWidth="1" min="5" max="5" width="17.63"/>
    <col customWidth="1" min="6" max="7" width="20.13"/>
    <col customWidth="1" min="8" max="8" width="20.88"/>
    <col customWidth="1" min="9" max="9" width="25.13"/>
  </cols>
  <sheetData>
    <row r="1">
      <c r="A1" s="11" t="s">
        <v>114</v>
      </c>
      <c r="B1" s="11" t="s">
        <v>115</v>
      </c>
      <c r="C1" s="11" t="s">
        <v>4</v>
      </c>
      <c r="D1" s="11" t="s">
        <v>116</v>
      </c>
      <c r="E1" s="11" t="s">
        <v>117</v>
      </c>
      <c r="F1" s="11" t="s">
        <v>118</v>
      </c>
      <c r="G1" s="11" t="s">
        <v>119</v>
      </c>
      <c r="H1" s="11" t="s">
        <v>120</v>
      </c>
      <c r="I1" s="11" t="s">
        <v>121</v>
      </c>
    </row>
    <row r="2">
      <c r="A2" s="12">
        <f t="shared" ref="A2:A31" si="1">ROW()-1</f>
        <v>1</v>
      </c>
      <c r="B2" s="13" t="str">
        <f t="array" ref="B2:B101">SOL_LICITUDS_PRESTEC!D2:D1000</f>
        <v>EMP001</v>
      </c>
      <c r="C2" s="12" t="str">
        <f t="array" ref="C2:C101">SOL_LICITUDS_PRESTEC!E2:E1000</f>
        <v>Portàtil</v>
      </c>
      <c r="D2" s="14">
        <v>45699.0</v>
      </c>
      <c r="E2" s="12" t="str">
        <f>IF(D2="", "PENDENT_DATA", IF(SOL_LICITUDS_PRESTEC!G2&lt;= SOL_LICITUDS_PRESTEC!H2, "OK", "ERROR_DATES"))</f>
        <v>OK</v>
      </c>
      <c r="F2" s="13">
        <f>IF(B2="","", COUNTIFS(inventari!B:B,C2,inventari!F:F,"SI",inventari!G:G,"Disponible")-COUNTIFS($C$1:C1,C2,$H$1:H1,"APROVAT_AUTO"))</f>
        <v>4</v>
      </c>
      <c r="G2" s="12">
        <f>IF(B2=""," ", 
COUNTIFS(inventari!H:H, B2, inventari!G:G, "En_Prestec")  +
COUNTIFS(SOL_LICITUDS_PRESTEC!D:D, B2, SOL_LICITUDS_PRESTEC!G:G, "&lt;="&amp;TODAY()))</f>
        <v>4</v>
      </c>
      <c r="H2" s="13" t="str">
        <f t="shared" ref="H2:H31" si="2">IF(B2="","",
   IF(E2="PENDENT_DATA","PENDENT_DATA",
   IF(AND(F2&gt;0, E2="OK",
      NOT(AND(B2="EMP001", COUNTIF($B$2:B2,B2)&gt;=3)),
      NOT(AND(B2="EMP007", COUNTIF($B$2:B2,B2)&gt;=2))),
   "APROVAT_AUTO",
   IF(F2=0,"SENSE_EQUIPS",
   IF(OR(AND(B2="EMP001", COUNTIF($B$2:B2,B2)&gt;=3),
         AND(B2="EMP007", COUNTIF($B$2:B2,B2)&gt;=2)),
      "LIMIT_SUPERAT",
   "REVISAR")))))
   </f>
        <v>APROVAT_AUTO</v>
      </c>
      <c r="I2" s="12" t="str">
        <f t="array" ref="I2">IF(H2="APROVAT_AUTO",IFERROR(INDEX(inventari!A:A,MATCH(1, (inventari!B:B=C2)*(inventari!G:G="Disponible")*(inventari!F:F="Si")*(COUNTIF($I$1:I1, inventari!A:A)=0), 0)),
""), "")</f>
        <v>POR003</v>
      </c>
    </row>
    <row r="3">
      <c r="A3" s="12">
        <f t="shared" si="1"/>
        <v>2</v>
      </c>
      <c r="B3" s="13" t="s">
        <v>18</v>
      </c>
      <c r="C3" s="12" t="s">
        <v>19</v>
      </c>
      <c r="D3" s="14">
        <v>45700.0</v>
      </c>
      <c r="E3" s="12" t="str">
        <f>IF(D3="", "PENDENT_DATA", IF(SOL_LICITUDS_PRESTEC!G3&lt;= SOL_LICITUDS_PRESTEC!H3, "OK", "ERROR_DATES"))</f>
        <v>OK</v>
      </c>
      <c r="F3" s="13">
        <f>IF(B3="","", COUNTIFS(inventari!B:B,C3,inventari!F:F,"SI",inventari!G:G,"Disponible")-COUNTIFS($C$1:C2,C3,$H$1:H2,"APROVAT_AUTO"))</f>
        <v>3</v>
      </c>
      <c r="G3" s="12">
        <f>IF(B3=""," ", 
COUNTIFS(inventari!H:H, B3, inventari!G:G, "En_Prestec")  +
COUNTIFS(SOL_LICITUDS_PRESTEC!D:D, B3, SOL_LICITUDS_PRESTEC!G:G, "&lt;="&amp;TODAY()))</f>
        <v>1</v>
      </c>
      <c r="H3" s="13" t="str">
        <f t="shared" si="2"/>
        <v>APROVAT_AUTO</v>
      </c>
      <c r="I3" s="12" t="str">
        <f t="array" ref="I3">IF(H3="APROVAT_AUTO",IFERROR(INDEX(inventari!A:A,MATCH(1, (inventari!B:B=C3)*(inventari!G:G="Disponible")*(inventari!F:F="Si")*(COUNTIF($I$1:I2, inventari!A:A)=0), 0)),
""), "")</f>
        <v>TAB003</v>
      </c>
    </row>
    <row r="4">
      <c r="A4" s="12">
        <f t="shared" si="1"/>
        <v>3</v>
      </c>
      <c r="B4" s="13" t="s">
        <v>23</v>
      </c>
      <c r="C4" s="12" t="s">
        <v>24</v>
      </c>
      <c r="D4" s="14">
        <v>45698.0</v>
      </c>
      <c r="E4" s="12" t="str">
        <f>IF(D4="", "PENDENT_DATA", IF(SOL_LICITUDS_PRESTEC!G4&lt;= SOL_LICITUDS_PRESTEC!H4, "OK", "ERROR_DATES"))</f>
        <v>OK</v>
      </c>
      <c r="F4" s="13">
        <f>IF(B4="","", COUNTIFS(inventari!B:B,C4,inventari!F:F,"SI",inventari!G:G,"Disponible")-COUNTIFS($C$1:C3,C4,$H$1:H3,"APROVAT_AUTO"))</f>
        <v>3</v>
      </c>
      <c r="G4" s="12">
        <f>IF(B4=""," ", 
COUNTIFS(inventari!H:H, B4, inventari!G:G, "En_Prestec")  +
COUNTIFS(SOL_LICITUDS_PRESTEC!D:D, B4, SOL_LICITUDS_PRESTEC!G:G, "&lt;="&amp;TODAY()))</f>
        <v>3</v>
      </c>
      <c r="H4" s="13" t="str">
        <f t="shared" si="2"/>
        <v>APROVAT_AUTO</v>
      </c>
      <c r="I4" s="12" t="str">
        <f t="array" ref="I4">IF(H4="APROVAT_AUTO",IFERROR(INDEX(inventari!A:A,MATCH(1, (inventari!B:B=C4)*(inventari!G:G="Disponible")*(inventari!F:F="Si")*(COUNTIF($I$1:I3, inventari!A:A)=0), 0)),
""), "")</f>
        <v>DD003</v>
      </c>
    </row>
    <row r="5">
      <c r="A5" s="12">
        <f t="shared" si="1"/>
        <v>4</v>
      </c>
      <c r="B5" s="13" t="s">
        <v>29</v>
      </c>
      <c r="C5" s="12" t="s">
        <v>13</v>
      </c>
      <c r="D5" s="14">
        <v>45701.0</v>
      </c>
      <c r="E5" s="12" t="str">
        <f>IF(D5="", "PENDENT_DATA", IF(SOL_LICITUDS_PRESTEC!G5&lt;= SOL_LICITUDS_PRESTEC!H5, "OK", "ERROR_DATES"))</f>
        <v>OK</v>
      </c>
      <c r="F5" s="13">
        <f>IF(B5="","", COUNTIFS(inventari!B:B,C5,inventari!F:F,"SI",inventari!G:G,"Disponible")-COUNTIFS($C$1:C4,C5,$H$1:H4,"APROVAT_AUTO"))</f>
        <v>3</v>
      </c>
      <c r="G5" s="12">
        <f>IF(B5=""," ", 
COUNTIFS(inventari!H:H, B5, inventari!G:G, "En_Prestec")  +
COUNTIFS(SOL_LICITUDS_PRESTEC!D:D, B5, SOL_LICITUDS_PRESTEC!G:G, "&lt;="&amp;TODAY()))</f>
        <v>1</v>
      </c>
      <c r="H5" s="13" t="str">
        <f t="shared" si="2"/>
        <v>APROVAT_AUTO</v>
      </c>
      <c r="I5" s="12" t="str">
        <f t="array" ref="I5">IF(H5="APROVAT_AUTO",IFERROR(INDEX(inventari!A:A,MATCH(1, (inventari!B:B=C5)*(inventari!G:G="Disponible")*(inventari!F:F="Si")*(COUNTIF($I$1:I4, inventari!A:A)=0), 0)),
""), "")</f>
        <v>POR005</v>
      </c>
    </row>
    <row r="6">
      <c r="A6" s="12">
        <f t="shared" si="1"/>
        <v>5</v>
      </c>
      <c r="B6" s="13" t="s">
        <v>34</v>
      </c>
      <c r="C6" s="12" t="s">
        <v>35</v>
      </c>
      <c r="D6" s="14">
        <v>45702.0</v>
      </c>
      <c r="E6" s="12" t="str">
        <f>IF(D6="", "PENDENT_DATA", IF(SOL_LICITUDS_PRESTEC!G6&lt;= SOL_LICITUDS_PRESTEC!H6, "OK", "ERROR_DATES"))</f>
        <v>OK</v>
      </c>
      <c r="F6" s="13">
        <f>IF(B6="","", COUNTIFS(inventari!B:B,C6,inventari!F:F,"SI",inventari!G:G,"Disponible")-COUNTIFS($C$1:C5,C6,$H$1:H5,"APROVAT_AUTO"))</f>
        <v>1</v>
      </c>
      <c r="G6" s="12">
        <f>IF(B6=""," ", 
COUNTIFS(inventari!H:H, B6, inventari!G:G, "En_Prestec")  +
COUNTIFS(SOL_LICITUDS_PRESTEC!D:D, B6, SOL_LICITUDS_PRESTEC!G:G, "&lt;="&amp;TODAY()))</f>
        <v>3</v>
      </c>
      <c r="H6" s="13" t="str">
        <f t="shared" si="2"/>
        <v>APROVAT_AUTO</v>
      </c>
      <c r="I6" s="12" t="str">
        <f t="array" ref="I6">IF(H6="APROVAT_AUTO",IFERROR(INDEX(inventari!A:A,MATCH(1, (inventari!B:B=C6)*(inventari!G:G="Disponible")*(inventari!F:F="Si")*(COUNTIF($I$1:I5, inventari!A:A)=0), 0)),
""), "")</f>
        <v>CAM001</v>
      </c>
    </row>
    <row r="7">
      <c r="A7" s="12">
        <f t="shared" si="1"/>
        <v>6</v>
      </c>
      <c r="B7" s="13" t="s">
        <v>39</v>
      </c>
      <c r="C7" s="12" t="s">
        <v>40</v>
      </c>
      <c r="D7" s="14">
        <v>45699.0</v>
      </c>
      <c r="E7" s="12" t="str">
        <f>IF(D7="", "PENDENT_DATA", IF(SOL_LICITUDS_PRESTEC!G7&lt;= SOL_LICITUDS_PRESTEC!H7, "OK", "ERROR_DATES"))</f>
        <v>OK</v>
      </c>
      <c r="F7" s="13">
        <f>IF(B7="","", COUNTIFS(inventari!B:B,C7,inventari!F:F,"SI",inventari!G:G,"Disponible")-COUNTIFS($C$1:C6,C7,$H$1:H6,"APROVAT_AUTO"))</f>
        <v>3</v>
      </c>
      <c r="G7" s="12">
        <f>IF(B7=""," ", 
COUNTIFS(inventari!H:H, B7, inventari!G:G, "En_Prestec")  +
COUNTIFS(SOL_LICITUDS_PRESTEC!D:D, B7, SOL_LICITUDS_PRESTEC!G:G, "&lt;="&amp;TODAY()))</f>
        <v>3</v>
      </c>
      <c r="H7" s="13" t="str">
        <f t="shared" si="2"/>
        <v>APROVAT_AUTO</v>
      </c>
      <c r="I7" s="12" t="str">
        <f t="array" ref="I7">IF(H7="APROVAT_AUTO",IFERROR(INDEX(inventari!A:A,MATCH(1, (inventari!B:B=C7)*(inventari!G:G="Disponible")*(inventari!F:F="Si")*(COUNTIF($I$1:I6, inventari!A:A)=0), 0)),
""), "")</f>
        <v>MOB002</v>
      </c>
    </row>
    <row r="8">
      <c r="A8" s="12">
        <f t="shared" si="1"/>
        <v>7</v>
      </c>
      <c r="B8" s="13" t="s">
        <v>44</v>
      </c>
      <c r="C8" s="12" t="s">
        <v>13</v>
      </c>
      <c r="D8" s="14">
        <v>45700.0</v>
      </c>
      <c r="E8" s="12" t="str">
        <f>IF(D8="", "PENDENT_DATA", IF(SOL_LICITUDS_PRESTEC!G8&lt;= SOL_LICITUDS_PRESTEC!H8, "OK", "ERROR_DATES"))</f>
        <v>OK</v>
      </c>
      <c r="F8" s="13">
        <f>IF(B8="","", COUNTIFS(inventari!B:B,C8,inventari!F:F,"SI",inventari!G:G,"Disponible")-COUNTIFS($C$1:C7,C8,$H$1:H7,"APROVAT_AUTO"))</f>
        <v>2</v>
      </c>
      <c r="G8" s="12">
        <f>IF(B8=""," ", 
COUNTIFS(inventari!H:H, B8, inventari!G:G, "En_Prestec")  +
COUNTIFS(SOL_LICITUDS_PRESTEC!D:D, B8, SOL_LICITUDS_PRESTEC!G:G, "&lt;="&amp;TODAY()))</f>
        <v>3</v>
      </c>
      <c r="H8" s="13" t="str">
        <f t="shared" si="2"/>
        <v>APROVAT_AUTO</v>
      </c>
      <c r="I8" s="12" t="str">
        <f t="array" ref="I8">IF(H8="APROVAT_AUTO",IFERROR(INDEX(inventari!A:A,MATCH(1, (inventari!B:B=C8)*(inventari!G:G="Disponible")*(inventari!F:F="Si")*(COUNTIF($I$1:I7, inventari!A:A)=0), 0)),
""), "")</f>
        <v>POR008</v>
      </c>
    </row>
    <row r="9">
      <c r="A9" s="12">
        <f t="shared" si="1"/>
        <v>8</v>
      </c>
      <c r="B9" s="13" t="s">
        <v>48</v>
      </c>
      <c r="C9" s="12" t="s">
        <v>19</v>
      </c>
      <c r="D9" s="14">
        <v>45701.0</v>
      </c>
      <c r="E9" s="12" t="str">
        <f>IF(D9="", "PENDENT_DATA", IF(SOL_LICITUDS_PRESTEC!G9&lt;= SOL_LICITUDS_PRESTEC!H9, "OK", "ERROR_DATES"))</f>
        <v>OK</v>
      </c>
      <c r="F9" s="13">
        <f>IF(B9="","", COUNTIFS(inventari!B:B,C9,inventari!F:F,"SI",inventari!G:G,"Disponible")-COUNTIFS($C$1:C8,C9,$H$1:H8,"APROVAT_AUTO"))</f>
        <v>2</v>
      </c>
      <c r="G9" s="12">
        <f>IF(B9=""," ", 
COUNTIFS(inventari!H:H, B9, inventari!G:G, "En_Prestec")  +
COUNTIFS(SOL_LICITUDS_PRESTEC!D:D, B9, SOL_LICITUDS_PRESTEC!G:G, "&lt;="&amp;TODAY()))</f>
        <v>2</v>
      </c>
      <c r="H9" s="13" t="str">
        <f t="shared" si="2"/>
        <v>APROVAT_AUTO</v>
      </c>
      <c r="I9" s="12" t="str">
        <f t="array" ref="I9">IF(H9="APROVAT_AUTO",IFERROR(INDEX(inventari!A:A,MATCH(1, (inventari!B:B=C9)*(inventari!G:G="Disponible")*(inventari!F:F="Si")*(COUNTIF($I$1:I8, inventari!A:A)=0), 0)),
""), "")</f>
        <v>TAB005</v>
      </c>
    </row>
    <row r="10">
      <c r="A10" s="12">
        <f t="shared" si="1"/>
        <v>9</v>
      </c>
      <c r="B10" s="13" t="s">
        <v>52</v>
      </c>
      <c r="C10" s="12" t="s">
        <v>24</v>
      </c>
      <c r="D10" s="14">
        <v>45699.0</v>
      </c>
      <c r="E10" s="12" t="str">
        <f>IF(D10="", "PENDENT_DATA", IF(SOL_LICITUDS_PRESTEC!G10&lt;= SOL_LICITUDS_PRESTEC!H10, "OK", "ERROR_DATES"))</f>
        <v>OK</v>
      </c>
      <c r="F10" s="13">
        <f>IF(B10="","", COUNTIFS(inventari!B:B,C10,inventari!F:F,"SI",inventari!G:G,"Disponible")-COUNTIFS($C$1:C9,C10,$H$1:H9,"APROVAT_AUTO"))</f>
        <v>2</v>
      </c>
      <c r="G10" s="12">
        <f>IF(B10=""," ", 
COUNTIFS(inventari!H:H, B10, inventari!G:G, "En_Prestec")  +
COUNTIFS(SOL_LICITUDS_PRESTEC!D:D, B10, SOL_LICITUDS_PRESTEC!G:G, "&lt;="&amp;TODAY()))</f>
        <v>2</v>
      </c>
      <c r="H10" s="13" t="str">
        <f t="shared" si="2"/>
        <v>APROVAT_AUTO</v>
      </c>
      <c r="I10" s="12" t="str">
        <f t="array" ref="I10">IF(H10="APROVAT_AUTO",IFERROR(INDEX(inventari!A:A,MATCH(1, (inventari!B:B=C10)*(inventari!G:G="Disponible")*(inventari!F:F="Si")*(COUNTIF($I$1:I9, inventari!A:A)=0), 0)),
""), "")</f>
        <v>DD001</v>
      </c>
    </row>
    <row r="11">
      <c r="A11" s="12">
        <f t="shared" si="1"/>
        <v>10</v>
      </c>
      <c r="B11" s="13" t="s">
        <v>56</v>
      </c>
      <c r="C11" s="12" t="s">
        <v>57</v>
      </c>
      <c r="D11" s="14">
        <v>45702.0</v>
      </c>
      <c r="E11" s="12" t="str">
        <f>IF(D11="", "PENDENT_DATA", IF(SOL_LICITUDS_PRESTEC!G11&lt;= SOL_LICITUDS_PRESTEC!H11, "OK", "ERROR_DATES"))</f>
        <v>OK</v>
      </c>
      <c r="F11" s="13">
        <f>IF(B11="","", COUNTIFS(inventari!B:B,C11,inventari!F:F,"SI",inventari!G:G,"Disponible")-COUNTIFS($C$1:C10,C11,$H$1:H10,"APROVAT_AUTO"))</f>
        <v>0</v>
      </c>
      <c r="G11" s="12">
        <f>IF(B11=""," ", 
COUNTIFS(inventari!H:H, B11, inventari!G:G, "En_Prestec")  +
COUNTIFS(SOL_LICITUDS_PRESTEC!D:D, B11, SOL_LICITUDS_PRESTEC!G:G, "&lt;="&amp;TODAY()))</f>
        <v>2</v>
      </c>
      <c r="H11" s="13" t="str">
        <f t="shared" si="2"/>
        <v>SENSE_EQUIPS</v>
      </c>
      <c r="I11" s="12" t="str">
        <f t="array" ref="I11">IF(H11="APROVAT_AUTO",IFERROR(INDEX(inventari!A:A,MATCH(1, (inventari!B:B=C11)*(inventari!G:G="Disponible")*(inventari!F:F="Si")*(COUNTIF($I$1:I10, inventari!A:A)=0), 0)),
""), "")</f>
        <v/>
      </c>
    </row>
    <row r="12">
      <c r="A12" s="12">
        <f t="shared" si="1"/>
        <v>11</v>
      </c>
      <c r="B12" s="13" t="s">
        <v>61</v>
      </c>
      <c r="C12" s="12" t="s">
        <v>19</v>
      </c>
      <c r="D12" s="14">
        <v>45703.0</v>
      </c>
      <c r="E12" s="12" t="str">
        <f>IF(D12="", "PENDENT_DATA", IF(SOL_LICITUDS_PRESTEC!G12&lt;= SOL_LICITUDS_PRESTEC!H12, "OK", "ERROR_DATES"))</f>
        <v>OK</v>
      </c>
      <c r="F12" s="13">
        <f>IF(B12="","", COUNTIFS(inventari!B:B,C12,inventari!F:F,"SI",inventari!G:G,"Disponible")-COUNTIFS($C$1:C11,C12,$H$1:H11,"APROVAT_AUTO"))</f>
        <v>1</v>
      </c>
      <c r="G12" s="12">
        <f>IF(B12=""," ", 
COUNTIFS(inventari!H:H, B12, inventari!G:G, "En_Prestec")  +
COUNTIFS(SOL_LICITUDS_PRESTEC!D:D, B12, SOL_LICITUDS_PRESTEC!G:G, "&lt;="&amp;TODAY()))</f>
        <v>2</v>
      </c>
      <c r="H12" s="13" t="str">
        <f t="shared" si="2"/>
        <v>APROVAT_AUTO</v>
      </c>
      <c r="I12" s="12" t="str">
        <f t="array" ref="I12">IF(H12="APROVAT_AUTO",IFERROR(INDEX(inventari!A:A,MATCH(1, (inventari!B:B=C12)*(inventari!G:G="Disponible")*(inventari!F:F="Si")*(COUNTIF($I$1:I11, inventari!A:A)=0), 0)),
""), "")</f>
        <v>TAB001</v>
      </c>
    </row>
    <row r="13">
      <c r="A13" s="12">
        <f t="shared" si="1"/>
        <v>12</v>
      </c>
      <c r="B13" s="13" t="s">
        <v>65</v>
      </c>
      <c r="C13" s="12" t="s">
        <v>13</v>
      </c>
      <c r="D13" s="14">
        <v>45705.0</v>
      </c>
      <c r="E13" s="12" t="str">
        <f>IF(D13="", "PENDENT_DATA", IF(SOL_LICITUDS_PRESTEC!G13&lt;= SOL_LICITUDS_PRESTEC!H13, "OK", "ERROR_DATES"))</f>
        <v>OK</v>
      </c>
      <c r="F13" s="13">
        <f>IF(B13="","", COUNTIFS(inventari!B:B,C13,inventari!F:F,"SI",inventari!G:G,"Disponible")-COUNTIFS($C$1:C12,C13,$H$1:H12,"APROVAT_AUTO"))</f>
        <v>1</v>
      </c>
      <c r="G13" s="12">
        <f>IF(B13=""," ", 
COUNTIFS(inventari!H:H, B13, inventari!G:G, "En_Prestec")  +
COUNTIFS(SOL_LICITUDS_PRESTEC!D:D, B13, SOL_LICITUDS_PRESTEC!G:G, "&lt;="&amp;TODAY()))</f>
        <v>2</v>
      </c>
      <c r="H13" s="13" t="str">
        <f t="shared" si="2"/>
        <v>APROVAT_AUTO</v>
      </c>
      <c r="I13" s="12" t="str">
        <f t="array" ref="I13">IF(H13="APROVAT_AUTO",IFERROR(INDEX(inventari!A:A,MATCH(1, (inventari!B:B=C13)*(inventari!G:G="Disponible")*(inventari!F:F="Si")*(COUNTIF($I$1:I12, inventari!A:A)=0), 0)),
""), "")</f>
        <v>POR009</v>
      </c>
    </row>
    <row r="14">
      <c r="A14" s="12">
        <f t="shared" si="1"/>
        <v>13</v>
      </c>
      <c r="B14" s="13" t="s">
        <v>68</v>
      </c>
      <c r="C14" s="12" t="s">
        <v>24</v>
      </c>
      <c r="D14" s="14">
        <v>45699.0</v>
      </c>
      <c r="E14" s="12" t="str">
        <f>IF(D14="", "PENDENT_DATA", IF(SOL_LICITUDS_PRESTEC!G14&lt;= SOL_LICITUDS_PRESTEC!H14, "OK", "ERROR_DATES"))</f>
        <v>OK</v>
      </c>
      <c r="F14" s="13">
        <f>IF(B14="","", COUNTIFS(inventari!B:B,C14,inventari!F:F,"SI",inventari!G:G,"Disponible")-COUNTIFS($C$1:C13,C14,$H$1:H13,"APROVAT_AUTO"))</f>
        <v>1</v>
      </c>
      <c r="G14" s="12">
        <f>IF(B14=""," ", 
COUNTIFS(inventari!H:H, B14, inventari!G:G, "En_Prestec")  +
COUNTIFS(SOL_LICITUDS_PRESTEC!D:D, B14, SOL_LICITUDS_PRESTEC!G:G, "&lt;="&amp;TODAY()))</f>
        <v>2</v>
      </c>
      <c r="H14" s="13" t="str">
        <f t="shared" si="2"/>
        <v>APROVAT_AUTO</v>
      </c>
      <c r="I14" s="12" t="str">
        <f t="array" ref="I14">IF(H14="APROVAT_AUTO",IFERROR(INDEX(inventari!A:A,MATCH(1, (inventari!B:B=C14)*(inventari!G:G="Disponible")*(inventari!F:F="Si")*(COUNTIF($I$1:I13, inventari!A:A)=0), 0)),
""), "")</f>
        <v>DD004</v>
      </c>
    </row>
    <row r="15">
      <c r="A15" s="12">
        <f t="shared" si="1"/>
        <v>14</v>
      </c>
      <c r="B15" s="13" t="s">
        <v>72</v>
      </c>
      <c r="C15" s="12" t="s">
        <v>13</v>
      </c>
      <c r="D15" s="14">
        <v>45706.0</v>
      </c>
      <c r="E15" s="12" t="str">
        <f>IF(D15="", "PENDENT_DATA", IF(SOL_LICITUDS_PRESTEC!G15&lt;= SOL_LICITUDS_PRESTEC!H15, "OK", "ERROR_DATES"))</f>
        <v>OK</v>
      </c>
      <c r="F15" s="13">
        <f>IF(B15="","", COUNTIFS(inventari!B:B,C15,inventari!F:F,"SI",inventari!G:G,"Disponible")-COUNTIFS($C$1:C14,C15,$H$1:H14,"APROVAT_AUTO"))</f>
        <v>0</v>
      </c>
      <c r="G15" s="12">
        <f>IF(B15=""," ", 
COUNTIFS(inventari!H:H, B15, inventari!G:G, "En_Prestec")  +
COUNTIFS(SOL_LICITUDS_PRESTEC!D:D, B15, SOL_LICITUDS_PRESTEC!G:G, "&lt;="&amp;TODAY()))</f>
        <v>1</v>
      </c>
      <c r="H15" s="13" t="str">
        <f t="shared" si="2"/>
        <v>SENSE_EQUIPS</v>
      </c>
      <c r="I15" s="12" t="str">
        <f t="array" ref="I15">IF(H15="APROVAT_AUTO",IFERROR(INDEX(inventari!A:A,MATCH(1, (inventari!B:B=C15)*(inventari!G:G="Disponible")*(inventari!F:F="Si")*(COUNTIF($I$1:I14, inventari!A:A)=0), 0)),
""), "")</f>
        <v/>
      </c>
    </row>
    <row r="16">
      <c r="A16" s="12">
        <f t="shared" si="1"/>
        <v>15</v>
      </c>
      <c r="B16" s="13" t="s">
        <v>76</v>
      </c>
      <c r="C16" s="12" t="s">
        <v>13</v>
      </c>
      <c r="D16" s="14">
        <v>45707.0</v>
      </c>
      <c r="E16" s="12" t="str">
        <f>IF(D16="", "PENDENT_DATA", IF(SOL_LICITUDS_PRESTEC!G16&lt;= SOL_LICITUDS_PRESTEC!H16, "OK", "ERROR_DATES"))</f>
        <v>OK</v>
      </c>
      <c r="F16" s="13">
        <f>IF(B16="","", COUNTIFS(inventari!B:B,C16,inventari!F:F,"SI",inventari!G:G,"Disponible")-COUNTIFS($C$1:C15,C16,$H$1:H15,"APROVAT_AUTO"))</f>
        <v>0</v>
      </c>
      <c r="G16" s="12">
        <f>IF(B16=""," ", 
COUNTIFS(inventari!H:H, B16, inventari!G:G, "En_Prestec")  +
COUNTIFS(SOL_LICITUDS_PRESTEC!D:D, B16, SOL_LICITUDS_PRESTEC!G:G, "&lt;="&amp;TODAY()))</f>
        <v>2</v>
      </c>
      <c r="H16" s="13" t="str">
        <f t="shared" si="2"/>
        <v>SENSE_EQUIPS</v>
      </c>
      <c r="I16" s="12" t="str">
        <f t="array" ref="I16">IF(H16="APROVAT_AUTO",IFERROR(INDEX(inventari!A:A,MATCH(1, (inventari!B:B=C16)*(inventari!G:G="Disponible")*(inventari!F:F="Si")*(COUNTIF($I$1:I15, inventari!A:A)=0), 0)),
""), "")</f>
        <v/>
      </c>
    </row>
    <row r="17">
      <c r="A17" s="12">
        <f t="shared" si="1"/>
        <v>16</v>
      </c>
      <c r="B17" s="13" t="s">
        <v>79</v>
      </c>
      <c r="C17" s="12" t="s">
        <v>35</v>
      </c>
      <c r="D17" s="14">
        <v>45708.0</v>
      </c>
      <c r="E17" s="12" t="str">
        <f>IF(D17="", "PENDENT_DATA", IF(SOL_LICITUDS_PRESTEC!G17&lt;= SOL_LICITUDS_PRESTEC!H17, "OK", "ERROR_DATES"))</f>
        <v>OK</v>
      </c>
      <c r="F17" s="13">
        <f>IF(B17="","", COUNTIFS(inventari!B:B,C17,inventari!F:F,"SI",inventari!G:G,"Disponible")-COUNTIFS($C$1:C16,C17,$H$1:H16,"APROVAT_AUTO"))</f>
        <v>0</v>
      </c>
      <c r="G17" s="12">
        <f>IF(B17=""," ", 
COUNTIFS(inventari!H:H, B17, inventari!G:G, "En_Prestec")  +
COUNTIFS(SOL_LICITUDS_PRESTEC!D:D, B17, SOL_LICITUDS_PRESTEC!G:G, "&lt;="&amp;TODAY()))</f>
        <v>1</v>
      </c>
      <c r="H17" s="13" t="str">
        <f t="shared" si="2"/>
        <v>SENSE_EQUIPS</v>
      </c>
      <c r="I17" s="12" t="str">
        <f t="array" ref="I17">IF(H17="APROVAT_AUTO",IFERROR(INDEX(inventari!A:A,MATCH(1, (inventari!B:B=C17)*(inventari!G:G="Disponible")*(inventari!F:F="Si")*(COUNTIF($I$1:I16, inventari!A:A)=0), 0)),
""), "")</f>
        <v/>
      </c>
    </row>
    <row r="18">
      <c r="A18" s="12">
        <f t="shared" si="1"/>
        <v>17</v>
      </c>
      <c r="B18" s="13" t="s">
        <v>83</v>
      </c>
      <c r="C18" s="12" t="s">
        <v>13</v>
      </c>
      <c r="D18" s="14">
        <v>45709.0</v>
      </c>
      <c r="E18" s="12" t="str">
        <f>IF(D18="", "PENDENT_DATA", IF(SOL_LICITUDS_PRESTEC!G18&lt;= SOL_LICITUDS_PRESTEC!H18, "OK", "ERROR_DATES"))</f>
        <v>OK</v>
      </c>
      <c r="F18" s="13">
        <f>IF(B18="","", COUNTIFS(inventari!B:B,C18,inventari!F:F,"SI",inventari!G:G,"Disponible")-COUNTIFS($C$1:C17,C18,$H$1:H17,"APROVAT_AUTO"))</f>
        <v>0</v>
      </c>
      <c r="G18" s="12">
        <f>IF(B18=""," ", 
COUNTIFS(inventari!H:H, B18, inventari!G:G, "En_Prestec")  +
COUNTIFS(SOL_LICITUDS_PRESTEC!D:D, B18, SOL_LICITUDS_PRESTEC!G:G, "&lt;="&amp;TODAY()))</f>
        <v>1</v>
      </c>
      <c r="H18" s="13" t="str">
        <f t="shared" si="2"/>
        <v>SENSE_EQUIPS</v>
      </c>
      <c r="I18" s="12" t="str">
        <f t="array" ref="I18">IF(H18="APROVAT_AUTO",IFERROR(INDEX(inventari!A:A,MATCH(1, (inventari!B:B=C18)*(inventari!G:G="Disponible")*(inventari!F:F="Si")*(COUNTIF($I$1:I17, inventari!A:A)=0), 0)),
""), "")</f>
        <v/>
      </c>
    </row>
    <row r="19">
      <c r="A19" s="12">
        <f t="shared" si="1"/>
        <v>18</v>
      </c>
      <c r="B19" s="13" t="s">
        <v>86</v>
      </c>
      <c r="C19" s="12" t="s">
        <v>40</v>
      </c>
      <c r="D19" s="14">
        <v>45712.0</v>
      </c>
      <c r="E19" s="12" t="str">
        <f>IF(D19="", "PENDENT_DATA", IF(SOL_LICITUDS_PRESTEC!G19&lt;= SOL_LICITUDS_PRESTEC!H19, "OK", "ERROR_DATES"))</f>
        <v>OK</v>
      </c>
      <c r="F19" s="13">
        <f>IF(B19="","", COUNTIFS(inventari!B:B,C19,inventari!F:F,"SI",inventari!G:G,"Disponible")-COUNTIFS($C$1:C18,C19,$H$1:H18,"APROVAT_AUTO"))</f>
        <v>2</v>
      </c>
      <c r="G19" s="12">
        <f>IF(B19=""," ", 
COUNTIFS(inventari!H:H, B19, inventari!G:G, "En_Prestec")  +
COUNTIFS(SOL_LICITUDS_PRESTEC!D:D, B19, SOL_LICITUDS_PRESTEC!G:G, "&lt;="&amp;TODAY()))</f>
        <v>1</v>
      </c>
      <c r="H19" s="13" t="str">
        <f t="shared" si="2"/>
        <v>APROVAT_AUTO</v>
      </c>
      <c r="I19" s="12" t="str">
        <f t="array" ref="I19">IF(H19="APROVAT_AUTO",IFERROR(INDEX(inventari!A:A,MATCH(1, (inventari!B:B=C19)*(inventari!G:G="Disponible")*(inventari!F:F="Si")*(COUNTIF($I$1:I18, inventari!A:A)=0), 0)),
""), "")</f>
        <v>MOB004</v>
      </c>
    </row>
    <row r="20">
      <c r="A20" s="12">
        <f t="shared" si="1"/>
        <v>19</v>
      </c>
      <c r="B20" s="13" t="s">
        <v>89</v>
      </c>
      <c r="C20" s="12" t="s">
        <v>19</v>
      </c>
      <c r="D20" s="14">
        <v>45713.0</v>
      </c>
      <c r="E20" s="12" t="str">
        <f>IF(D20="", "PENDENT_DATA", IF(SOL_LICITUDS_PRESTEC!G20&lt;= SOL_LICITUDS_PRESTEC!H20, "OK", "ERROR_DATES"))</f>
        <v>OK</v>
      </c>
      <c r="F20" s="13">
        <f>IF(B20="","", COUNTIFS(inventari!B:B,C20,inventari!F:F,"SI",inventari!G:G,"Disponible")-COUNTIFS($C$1:C19,C20,$H$1:H19,"APROVAT_AUTO"))</f>
        <v>0</v>
      </c>
      <c r="G20" s="12">
        <f>IF(B20=""," ", 
COUNTIFS(inventari!H:H, B20, inventari!G:G, "En_Prestec")  +
COUNTIFS(SOL_LICITUDS_PRESTEC!D:D, B20, SOL_LICITUDS_PRESTEC!G:G, "&lt;="&amp;TODAY()))</f>
        <v>1</v>
      </c>
      <c r="H20" s="13" t="str">
        <f t="shared" si="2"/>
        <v>SENSE_EQUIPS</v>
      </c>
      <c r="I20" s="12" t="str">
        <f t="array" ref="I20">IF(H20="APROVAT_AUTO",IFERROR(INDEX(inventari!A:A,MATCH(1, (inventari!B:B=C20)*(inventari!G:G="Disponible")*(inventari!F:F="Si")*(COUNTIF($I$1:I19, inventari!A:A)=0), 0)),
""), "")</f>
        <v/>
      </c>
    </row>
    <row r="21">
      <c r="A21" s="12">
        <f t="shared" si="1"/>
        <v>20</v>
      </c>
      <c r="B21" s="13" t="s">
        <v>92</v>
      </c>
      <c r="C21" s="12" t="s">
        <v>13</v>
      </c>
      <c r="D21" s="14">
        <v>45714.0</v>
      </c>
      <c r="E21" s="12" t="str">
        <f>IF(D21="", "PENDENT_DATA", IF(SOL_LICITUDS_PRESTEC!G21&lt;= SOL_LICITUDS_PRESTEC!H21, "OK", "ERROR_DATES"))</f>
        <v>OK</v>
      </c>
      <c r="F21" s="13">
        <f>IF(B21="","", COUNTIFS(inventari!B:B,C21,inventari!F:F,"SI",inventari!G:G,"Disponible")-COUNTIFS($C$1:C20,C21,$H$1:H20,"APROVAT_AUTO"))</f>
        <v>0</v>
      </c>
      <c r="G21" s="12">
        <f>IF(B21=""," ", 
COUNTIFS(inventari!H:H, B21, inventari!G:G, "En_Prestec")  +
COUNTIFS(SOL_LICITUDS_PRESTEC!D:D, B21, SOL_LICITUDS_PRESTEC!G:G, "&lt;="&amp;TODAY()))</f>
        <v>1</v>
      </c>
      <c r="H21" s="13" t="str">
        <f t="shared" si="2"/>
        <v>SENSE_EQUIPS</v>
      </c>
      <c r="I21" s="12" t="str">
        <f t="array" ref="I21">IF(H21="APROVAT_AUTO",IFERROR(INDEX(inventari!A:A,MATCH(1, (inventari!B:B=C21)*(inventari!G:G="Disponible")*(inventari!F:F="Si")*(COUNTIF($I$1:I20, inventari!A:A)=0), 0)),
""), "")</f>
        <v/>
      </c>
    </row>
    <row r="22">
      <c r="A22" s="12">
        <f t="shared" si="1"/>
        <v>21</v>
      </c>
      <c r="B22" s="13" t="s">
        <v>95</v>
      </c>
      <c r="C22" s="12" t="s">
        <v>19</v>
      </c>
      <c r="D22" s="14">
        <v>45699.0</v>
      </c>
      <c r="E22" s="12" t="str">
        <f>IF(D22="", "PENDENT_DATA", IF(SOL_LICITUDS_PRESTEC!G22&lt;= SOL_LICITUDS_PRESTEC!H22, "OK", "ERROR_DATES"))</f>
        <v>OK</v>
      </c>
      <c r="F22" s="13">
        <f>IF(B22="","", COUNTIFS(inventari!B:B,C22,inventari!F:F,"SI",inventari!G:G,"Disponible")-COUNTIFS($C$1:C21,C22,$H$1:H21,"APROVAT_AUTO"))</f>
        <v>0</v>
      </c>
      <c r="G22" s="12">
        <f>IF(B22=""," ", 
COUNTIFS(inventari!H:H, B22, inventari!G:G, "En_Prestec")  +
COUNTIFS(SOL_LICITUDS_PRESTEC!D:D, B22, SOL_LICITUDS_PRESTEC!G:G, "&lt;="&amp;TODAY()))</f>
        <v>1</v>
      </c>
      <c r="H22" s="13" t="str">
        <f t="shared" si="2"/>
        <v>SENSE_EQUIPS</v>
      </c>
      <c r="I22" s="12" t="str">
        <f t="array" ref="I22">IF(H22="APROVAT_AUTO",IFERROR(INDEX(inventari!A:A,MATCH(1, (inventari!B:B=C22)*(inventari!G:G="Disponible")*(inventari!F:F="Si")*(COUNTIF($I$1:I21, inventari!A:A)=0), 0)),
""), "")</f>
        <v/>
      </c>
    </row>
    <row r="23">
      <c r="A23" s="12">
        <f t="shared" si="1"/>
        <v>22</v>
      </c>
      <c r="B23" s="13" t="s">
        <v>98</v>
      </c>
      <c r="C23" s="12" t="s">
        <v>13</v>
      </c>
      <c r="D23" s="14">
        <v>45715.0</v>
      </c>
      <c r="E23" s="12" t="str">
        <f>IF(D23="", "PENDENT_DATA", IF(SOL_LICITUDS_PRESTEC!G23&lt;= SOL_LICITUDS_PRESTEC!H23, "OK", "ERROR_DATES"))</f>
        <v>OK</v>
      </c>
      <c r="F23" s="13">
        <f>IF(B23="","", COUNTIFS(inventari!B:B,C23,inventari!F:F,"SI",inventari!G:G,"Disponible")-COUNTIFS($C$1:C22,C23,$H$1:H22,"APROVAT_AUTO"))</f>
        <v>0</v>
      </c>
      <c r="G23" s="12">
        <f>IF(B23=""," ", 
COUNTIFS(inventari!H:H, B23, inventari!G:G, "En_Prestec")  +
COUNTIFS(SOL_LICITUDS_PRESTEC!D:D, B23, SOL_LICITUDS_PRESTEC!G:G, "&lt;="&amp;TODAY()))</f>
        <v>1</v>
      </c>
      <c r="H23" s="13" t="str">
        <f t="shared" si="2"/>
        <v>SENSE_EQUIPS</v>
      </c>
      <c r="I23" s="12" t="str">
        <f t="array" ref="I23">IF(H23="APROVAT_AUTO",IFERROR(INDEX(inventari!A:A,MATCH(1, (inventari!B:B=C23)*(inventari!G:G="Disponible")*(inventari!F:F="Si")*(COUNTIF($I$1:I22, inventari!A:A)=0), 0)),
""), "")</f>
        <v/>
      </c>
    </row>
    <row r="24">
      <c r="A24" s="12">
        <f t="shared" si="1"/>
        <v>23</v>
      </c>
      <c r="B24" s="13" t="s">
        <v>101</v>
      </c>
      <c r="C24" s="12" t="s">
        <v>57</v>
      </c>
      <c r="D24" s="14">
        <v>45716.0</v>
      </c>
      <c r="E24" s="12" t="str">
        <f>IF(D24="", "PENDENT_DATA", IF(SOL_LICITUDS_PRESTEC!G24&lt;= SOL_LICITUDS_PRESTEC!H24, "OK", "ERROR_DATES"))</f>
        <v>OK</v>
      </c>
      <c r="F24" s="13">
        <f>IF(B24="","", COUNTIFS(inventari!B:B,C24,inventari!F:F,"SI",inventari!G:G,"Disponible")-COUNTIFS($C$1:C23,C24,$H$1:H23,"APROVAT_AUTO"))</f>
        <v>0</v>
      </c>
      <c r="G24" s="12">
        <f>IF(B24=""," ", 
COUNTIFS(inventari!H:H, B24, inventari!G:G, "En_Prestec")  +
COUNTIFS(SOL_LICITUDS_PRESTEC!D:D, B24, SOL_LICITUDS_PRESTEC!G:G, "&lt;="&amp;TODAY()))</f>
        <v>1</v>
      </c>
      <c r="H24" s="13" t="str">
        <f t="shared" si="2"/>
        <v>SENSE_EQUIPS</v>
      </c>
      <c r="I24" s="12" t="str">
        <f t="array" ref="I24">IF(H24="APROVAT_AUTO",IFERROR(INDEX(inventari!A:A,MATCH(1, (inventari!B:B=C24)*(inventari!G:G="Disponible")*(inventari!F:F="Si")*(COUNTIF($I$1:I23, inventari!A:A)=0), 0)),
""), "")</f>
        <v/>
      </c>
    </row>
    <row r="25">
      <c r="A25" s="12">
        <f t="shared" si="1"/>
        <v>24</v>
      </c>
      <c r="B25" s="13" t="s">
        <v>105</v>
      </c>
      <c r="C25" s="12" t="s">
        <v>13</v>
      </c>
      <c r="D25" s="14">
        <v>45719.0</v>
      </c>
      <c r="E25" s="12" t="str">
        <f>IF(D25="", "PENDENT_DATA", IF(SOL_LICITUDS_PRESTEC!G25&lt;= SOL_LICITUDS_PRESTEC!H25, "OK", "ERROR_DATES"))</f>
        <v>OK</v>
      </c>
      <c r="F25" s="13">
        <f>IF(B25="","", COUNTIFS(inventari!B:B,C25,inventari!F:F,"SI",inventari!G:G,"Disponible")-COUNTIFS($C$1:C24,C25,$H$1:H24,"APROVAT_AUTO"))</f>
        <v>0</v>
      </c>
      <c r="G25" s="12">
        <f>IF(B25=""," ", 
COUNTIFS(inventari!H:H, B25, inventari!G:G, "En_Prestec")  +
COUNTIFS(SOL_LICITUDS_PRESTEC!D:D, B25, SOL_LICITUDS_PRESTEC!G:G, "&lt;="&amp;TODAY()))</f>
        <v>1</v>
      </c>
      <c r="H25" s="13" t="str">
        <f t="shared" si="2"/>
        <v>SENSE_EQUIPS</v>
      </c>
      <c r="I25" s="12" t="str">
        <f t="array" ref="I25">IF(H25="APROVAT_AUTO",IFERROR(INDEX(inventari!A:A,MATCH(1, (inventari!B:B=C25)*(inventari!G:G="Disponible")*(inventari!F:F="Si")*(COUNTIF($I$1:I24, inventari!A:A)=0), 0)),
""), "")</f>
        <v/>
      </c>
    </row>
    <row r="26">
      <c r="A26" s="12">
        <f t="shared" si="1"/>
        <v>25</v>
      </c>
      <c r="B26" s="13" t="s">
        <v>12</v>
      </c>
      <c r="C26" s="12" t="s">
        <v>19</v>
      </c>
      <c r="D26" s="14">
        <v>45702.0</v>
      </c>
      <c r="E26" s="12" t="str">
        <f>IF(D26="", "PENDENT_DATA", IF(SOL_LICITUDS_PRESTEC!G26&lt;= SOL_LICITUDS_PRESTEC!H26, "OK", "ERROR_DATES"))</f>
        <v>OK</v>
      </c>
      <c r="F26" s="13">
        <f>IF(B26="","", COUNTIFS(inventari!B:B,C26,inventari!F:F,"SI",inventari!G:G,"Disponible")-COUNTIFS($C$1:C25,C26,$H$1:H25,"APROVAT_AUTO"))</f>
        <v>0</v>
      </c>
      <c r="G26" s="12">
        <f>IF(B26=""," ", 
COUNTIFS(inventari!H:H, B26, inventari!G:G, "En_Prestec")  +
COUNTIFS(SOL_LICITUDS_PRESTEC!D:D, B26, SOL_LICITUDS_PRESTEC!G:G, "&lt;="&amp;TODAY()))</f>
        <v>4</v>
      </c>
      <c r="H26" s="13" t="str">
        <f t="shared" si="2"/>
        <v>SENSE_EQUIPS</v>
      </c>
      <c r="I26" s="12" t="str">
        <f t="array" ref="I26">IF(H26="APROVAT_AUTO",IFERROR(INDEX(inventari!A:A,MATCH(1, (inventari!B:B=C26)*(inventari!G:G="Disponible")*(inventari!F:F="Si")*(COUNTIF($I$1:I25, inventari!A:A)=0), 0)),
""), "")</f>
        <v/>
      </c>
    </row>
    <row r="27">
      <c r="A27" s="12">
        <f t="shared" si="1"/>
        <v>26</v>
      </c>
      <c r="B27" s="13" t="s">
        <v>12</v>
      </c>
      <c r="C27" s="12" t="s">
        <v>13</v>
      </c>
      <c r="D27" s="14">
        <v>45703.0</v>
      </c>
      <c r="E27" s="12" t="str">
        <f>IF(D27="", "PENDENT_DATA", IF(SOL_LICITUDS_PRESTEC!G27&lt;= SOL_LICITUDS_PRESTEC!H27, "OK", "ERROR_DATES"))</f>
        <v>OK</v>
      </c>
      <c r="F27" s="13">
        <f>IF(B27="","", COUNTIFS(inventari!B:B,C27,inventari!F:F,"SI",inventari!G:G,"Disponible")-COUNTIFS($C$1:C26,C27,$H$1:H26,"APROVAT_AUTO"))</f>
        <v>0</v>
      </c>
      <c r="G27" s="12">
        <f>IF(B27=""," ", 
COUNTIFS(inventari!H:H, B27, inventari!G:G, "En_Prestec")  +
COUNTIFS(SOL_LICITUDS_PRESTEC!D:D, B27, SOL_LICITUDS_PRESTEC!G:G, "&lt;="&amp;TODAY()))</f>
        <v>4</v>
      </c>
      <c r="H27" s="13" t="str">
        <f t="shared" si="2"/>
        <v>SENSE_EQUIPS</v>
      </c>
      <c r="I27" s="12" t="str">
        <f t="array" ref="I27">IF(H27="APROVAT_AUTO",IFERROR(INDEX(inventari!A:A,MATCH(1, (inventari!B:B=C27)*(inventari!G:G="Disponible")*(inventari!F:F="Si")*(COUNTIF($I$1:I26, inventari!A:A)=0), 0)),
""), "")</f>
        <v/>
      </c>
    </row>
    <row r="28">
      <c r="A28" s="12">
        <f t="shared" si="1"/>
        <v>27</v>
      </c>
      <c r="B28" s="13" t="s">
        <v>44</v>
      </c>
      <c r="C28" s="12" t="s">
        <v>19</v>
      </c>
      <c r="D28" s="14">
        <v>45704.0</v>
      </c>
      <c r="E28" s="12" t="str">
        <f>IF(D28="", "PENDENT_DATA", IF(SOL_LICITUDS_PRESTEC!G28&lt;= SOL_LICITUDS_PRESTEC!H28, "OK", "ERROR_DATES"))</f>
        <v>OK</v>
      </c>
      <c r="F28" s="13">
        <f>IF(B28="","", COUNTIFS(inventari!B:B,C28,inventari!F:F,"SI",inventari!G:G,"Disponible")-COUNTIFS($C$1:C27,C28,$H$1:H27,"APROVAT_AUTO"))</f>
        <v>0</v>
      </c>
      <c r="G28" s="12">
        <f>IF(B28=""," ", 
COUNTIFS(inventari!H:H, B28, inventari!G:G, "En_Prestec")  +
COUNTIFS(SOL_LICITUDS_PRESTEC!D:D, B28, SOL_LICITUDS_PRESTEC!G:G, "&lt;="&amp;TODAY()))</f>
        <v>3</v>
      </c>
      <c r="H28" s="13" t="str">
        <f t="shared" si="2"/>
        <v>SENSE_EQUIPS</v>
      </c>
      <c r="I28" s="12" t="str">
        <f t="array" ref="I28">IF(H28="APROVAT_AUTO",IFERROR(INDEX(inventari!A:A,MATCH(1, (inventari!B:B=C28)*(inventari!G:G="Disponible")*(inventari!F:F="Si")*(COUNTIF($I$1:I27, inventari!A:A)=0), 0)),
""), "")</f>
        <v/>
      </c>
    </row>
    <row r="29">
      <c r="A29" s="12">
        <f t="shared" si="1"/>
        <v>28</v>
      </c>
      <c r="B29" s="13" t="s">
        <v>23</v>
      </c>
      <c r="C29" s="12" t="s">
        <v>13</v>
      </c>
      <c r="D29" s="14">
        <v>45708.0</v>
      </c>
      <c r="E29" s="12" t="str">
        <f>IF(D29="", "PENDENT_DATA", IF(SOL_LICITUDS_PRESTEC!G29&lt;= SOL_LICITUDS_PRESTEC!H29, "OK", "ERROR_DATES"))</f>
        <v>ERROR_DATES</v>
      </c>
      <c r="F29" s="13">
        <f>IF(B29="","", COUNTIFS(inventari!B:B,C29,inventari!F:F,"SI",inventari!G:G,"Disponible")-COUNTIFS($C$1:C28,C29,$H$1:H28,"APROVAT_AUTO"))</f>
        <v>0</v>
      </c>
      <c r="G29" s="12">
        <f>IF(B29=""," ", 
COUNTIFS(inventari!H:H, B29, inventari!G:G, "En_Prestec")  +
COUNTIFS(SOL_LICITUDS_PRESTEC!D:D, B29, SOL_LICITUDS_PRESTEC!G:G, "&lt;="&amp;TODAY()))</f>
        <v>3</v>
      </c>
      <c r="H29" s="13" t="str">
        <f t="shared" si="2"/>
        <v>SENSE_EQUIPS</v>
      </c>
      <c r="I29" s="12" t="str">
        <f t="array" ref="I29">IF(H29="APROVAT_AUTO",IFERROR(INDEX(inventari!A:A,MATCH(1, (inventari!B:B=C29)*(inventari!G:G="Disponible")*(inventari!F:F="Si")*(COUNTIF($I$1:I28, inventari!A:A)=0), 0)),
""), "")</f>
        <v/>
      </c>
    </row>
    <row r="30">
      <c r="A30" s="12">
        <f t="shared" si="1"/>
        <v>29</v>
      </c>
      <c r="B30" s="13" t="s">
        <v>39</v>
      </c>
      <c r="C30" s="12" t="s">
        <v>13</v>
      </c>
      <c r="D30" s="14">
        <v>45705.0</v>
      </c>
      <c r="E30" s="12" t="str">
        <f>IF(D30="", "PENDENT_DATA", IF(SOL_LICITUDS_PRESTEC!G30&lt;= SOL_LICITUDS_PRESTEC!H30, "OK", "ERROR_DATES"))</f>
        <v>OK</v>
      </c>
      <c r="F30" s="13">
        <f>IF(B30="","", COUNTIFS(inventari!B:B,C30,inventari!F:F,"SI",inventari!G:G,"Disponible")-COUNTIFS($C$1:C29,C30,$H$1:H29,"APROVAT_AUTO"))</f>
        <v>0</v>
      </c>
      <c r="G30" s="12">
        <f>IF(B30=""," ", 
COUNTIFS(inventari!H:H, B30, inventari!G:G, "En_Prestec")  +
COUNTIFS(SOL_LICITUDS_PRESTEC!D:D, B30, SOL_LICITUDS_PRESTEC!G:G, "&lt;="&amp;TODAY()))</f>
        <v>3</v>
      </c>
      <c r="H30" s="13" t="str">
        <f t="shared" si="2"/>
        <v>SENSE_EQUIPS</v>
      </c>
      <c r="I30" s="12" t="str">
        <f t="array" ref="I30">IF(H30="APROVAT_AUTO",IFERROR(INDEX(inventari!A:A,MATCH(1, (inventari!B:B=C30)*(inventari!G:G="Disponible")*(inventari!F:F="Si")*(COUNTIF($I$1:I29, inventari!A:A)=0), 0)),
""), "")</f>
        <v/>
      </c>
    </row>
    <row r="31">
      <c r="A31" s="12">
        <f t="shared" si="1"/>
        <v>30</v>
      </c>
      <c r="B31" s="13" t="s">
        <v>34</v>
      </c>
      <c r="C31" s="12" t="s">
        <v>112</v>
      </c>
      <c r="D31" s="14">
        <v>45706.0</v>
      </c>
      <c r="E31" s="12" t="str">
        <f>IF(D31="", "PENDENT_DATA", IF(SOL_LICITUDS_PRESTEC!G31&lt;= SOL_LICITUDS_PRESTEC!H31, "OK", "ERROR_DATES"))</f>
        <v>OK</v>
      </c>
      <c r="F31" s="13">
        <f>IF(B31="","", COUNTIFS(inventari!B:B,C31,inventari!F:F,"SI",inventari!G:G,"Disponible")-COUNTIFS($C$1:C30,C31,$H$1:H30,"APROVAT_AUTO"))</f>
        <v>2</v>
      </c>
      <c r="G31" s="12">
        <f>IF(B31=""," ", 
COUNTIFS(inventari!H:H, B31, inventari!G:G, "En_Prestec")  +
COUNTIFS(SOL_LICITUDS_PRESTEC!D:D, B31, SOL_LICITUDS_PRESTEC!G:G, "&lt;="&amp;TODAY()))</f>
        <v>3</v>
      </c>
      <c r="H31" s="13" t="str">
        <f t="shared" si="2"/>
        <v>APROVAT_AUTO</v>
      </c>
      <c r="I31" s="12" t="str">
        <f t="array" ref="I31">IF(H31="APROVAT_AUTO",IFERROR(INDEX(inventari!A:A,MATCH(1, (inventari!B:B=C31)*(inventari!G:G="Disponible")*(inventari!F:F="Si")*(COUNTIF($I$1:I30, inventari!A:A)=0), 0)),
""), "")</f>
        <v>PROJ001</v>
      </c>
    </row>
    <row r="32">
      <c r="B32" s="15"/>
      <c r="C32" s="15"/>
    </row>
    <row r="33">
      <c r="B33" s="15"/>
      <c r="C33" s="15"/>
    </row>
    <row r="34">
      <c r="B34" s="15"/>
      <c r="C34" s="15"/>
    </row>
    <row r="35">
      <c r="B35" s="15"/>
      <c r="C35" s="15"/>
    </row>
    <row r="36">
      <c r="B36" s="15"/>
      <c r="C36" s="15"/>
    </row>
    <row r="37">
      <c r="B37" s="15"/>
      <c r="C37" s="15"/>
    </row>
    <row r="38">
      <c r="B38" s="15"/>
      <c r="C38" s="15"/>
    </row>
    <row r="39">
      <c r="B39" s="15"/>
      <c r="C39" s="15"/>
    </row>
    <row r="40">
      <c r="B40" s="15"/>
      <c r="C40" s="15"/>
    </row>
    <row r="41">
      <c r="B41" s="15"/>
      <c r="C41" s="15"/>
    </row>
    <row r="42">
      <c r="B42" s="15"/>
      <c r="C42" s="15"/>
    </row>
    <row r="43">
      <c r="B43" s="15"/>
      <c r="C43" s="15"/>
    </row>
    <row r="44">
      <c r="B44" s="15"/>
      <c r="C44" s="15"/>
    </row>
    <row r="45">
      <c r="B45" s="15"/>
      <c r="C45" s="15"/>
    </row>
    <row r="46">
      <c r="B46" s="15"/>
      <c r="C46" s="15"/>
    </row>
    <row r="47">
      <c r="B47" s="15"/>
      <c r="C47" s="15"/>
    </row>
    <row r="48">
      <c r="B48" s="15"/>
      <c r="C48" s="15"/>
    </row>
    <row r="49">
      <c r="B49" s="15"/>
      <c r="C49" s="15"/>
    </row>
    <row r="50">
      <c r="B50" s="15"/>
      <c r="C50" s="15"/>
    </row>
    <row r="51">
      <c r="B51" s="15"/>
      <c r="C51" s="15"/>
    </row>
    <row r="52">
      <c r="B52" s="15"/>
      <c r="C52" s="15"/>
    </row>
    <row r="53">
      <c r="B53" s="15"/>
      <c r="C53" s="15"/>
    </row>
    <row r="54">
      <c r="B54" s="15"/>
      <c r="C54" s="15"/>
    </row>
    <row r="55">
      <c r="B55" s="15"/>
      <c r="C55" s="15"/>
    </row>
    <row r="56">
      <c r="B56" s="15"/>
      <c r="C56" s="15"/>
    </row>
    <row r="57">
      <c r="B57" s="15"/>
      <c r="C57" s="15"/>
    </row>
    <row r="58">
      <c r="B58" s="15"/>
      <c r="C58" s="15"/>
    </row>
    <row r="59">
      <c r="B59" s="15"/>
      <c r="C59" s="15"/>
    </row>
    <row r="60">
      <c r="B60" s="15"/>
      <c r="C60" s="15"/>
    </row>
    <row r="61">
      <c r="B61" s="15"/>
      <c r="C61" s="15"/>
    </row>
    <row r="62">
      <c r="B62" s="15"/>
      <c r="C62" s="15"/>
    </row>
    <row r="63">
      <c r="B63" s="15"/>
      <c r="C63" s="15"/>
    </row>
    <row r="64">
      <c r="B64" s="15"/>
      <c r="C64" s="15"/>
    </row>
    <row r="65">
      <c r="B65" s="15"/>
      <c r="C65" s="15"/>
    </row>
    <row r="66">
      <c r="B66" s="15"/>
      <c r="C66" s="15"/>
    </row>
    <row r="67">
      <c r="B67" s="15"/>
      <c r="C67" s="15"/>
    </row>
    <row r="68">
      <c r="B68" s="15"/>
      <c r="C68" s="15"/>
    </row>
    <row r="69">
      <c r="B69" s="15"/>
      <c r="C69" s="15"/>
    </row>
    <row r="70">
      <c r="B70" s="15"/>
      <c r="C70" s="15"/>
    </row>
    <row r="71">
      <c r="B71" s="15"/>
      <c r="C71" s="15"/>
    </row>
    <row r="72">
      <c r="B72" s="15"/>
      <c r="C72" s="15"/>
    </row>
    <row r="73">
      <c r="B73" s="15"/>
      <c r="C73" s="15"/>
    </row>
    <row r="74">
      <c r="B74" s="15"/>
      <c r="C74" s="15"/>
    </row>
    <row r="75">
      <c r="B75" s="15"/>
      <c r="C75" s="15"/>
    </row>
    <row r="76">
      <c r="B76" s="15"/>
      <c r="C76" s="15"/>
    </row>
    <row r="77">
      <c r="B77" s="15"/>
      <c r="C77" s="15"/>
    </row>
    <row r="78">
      <c r="B78" s="15"/>
      <c r="C78" s="15"/>
    </row>
    <row r="79">
      <c r="B79" s="15"/>
      <c r="C79" s="15"/>
    </row>
    <row r="80">
      <c r="B80" s="15"/>
      <c r="C80" s="15"/>
    </row>
    <row r="81">
      <c r="B81" s="15"/>
      <c r="C81" s="15"/>
    </row>
    <row r="82">
      <c r="B82" s="15"/>
      <c r="C82" s="15"/>
    </row>
    <row r="83">
      <c r="B83" s="15"/>
      <c r="C83" s="15"/>
    </row>
    <row r="84">
      <c r="B84" s="15"/>
      <c r="C84" s="15"/>
    </row>
    <row r="85">
      <c r="B85" s="15"/>
      <c r="C85" s="15"/>
    </row>
    <row r="86">
      <c r="B86" s="15"/>
      <c r="C86" s="15"/>
    </row>
    <row r="87">
      <c r="B87" s="15"/>
      <c r="C87" s="15"/>
    </row>
    <row r="88">
      <c r="B88" s="15"/>
      <c r="C88" s="15"/>
    </row>
    <row r="89">
      <c r="B89" s="15"/>
      <c r="C89" s="15"/>
    </row>
    <row r="90">
      <c r="B90" s="15"/>
      <c r="C90" s="15"/>
    </row>
    <row r="91">
      <c r="B91" s="15"/>
      <c r="C91" s="15"/>
    </row>
    <row r="92">
      <c r="B92" s="15"/>
      <c r="C92" s="15"/>
    </row>
    <row r="93">
      <c r="B93" s="15"/>
      <c r="C93" s="15"/>
    </row>
    <row r="94">
      <c r="B94" s="15"/>
      <c r="C94" s="15"/>
    </row>
    <row r="95">
      <c r="B95" s="15"/>
      <c r="C95" s="15"/>
    </row>
    <row r="96">
      <c r="B96" s="15"/>
      <c r="C96" s="15"/>
    </row>
    <row r="97">
      <c r="B97" s="15"/>
      <c r="C97" s="15"/>
    </row>
    <row r="98">
      <c r="B98" s="15"/>
      <c r="C98" s="15"/>
    </row>
    <row r="99">
      <c r="B99" s="15"/>
      <c r="C99" s="15"/>
    </row>
    <row r="100">
      <c r="B100" s="15"/>
      <c r="C100" s="15"/>
    </row>
    <row r="101">
      <c r="B101" s="15"/>
      <c r="C101" s="1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6.0"/>
    <col customWidth="1" min="4" max="5" width="18.88"/>
    <col customWidth="1" min="6" max="6" width="29.63"/>
    <col customWidth="1" min="7" max="7" width="18.88"/>
    <col customWidth="1" min="8" max="8" width="27.88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122</v>
      </c>
      <c r="E1" s="1" t="s">
        <v>123</v>
      </c>
      <c r="F1" s="1" t="s">
        <v>124</v>
      </c>
      <c r="G1" s="1" t="s">
        <v>125</v>
      </c>
      <c r="H1" s="16" t="s">
        <v>10</v>
      </c>
    </row>
    <row r="2" ht="22.5" customHeight="1">
      <c r="A2" s="17">
        <v>45698.687789351854</v>
      </c>
      <c r="B2" s="18">
        <v>45698.687789351854</v>
      </c>
      <c r="C2" s="6" t="s">
        <v>11</v>
      </c>
      <c r="D2" s="7" t="s">
        <v>126</v>
      </c>
      <c r="E2" s="6" t="s">
        <v>127</v>
      </c>
      <c r="F2" s="7" t="s">
        <v>128</v>
      </c>
      <c r="G2" s="6" t="b">
        <v>1</v>
      </c>
      <c r="H2" s="7" t="s">
        <v>11</v>
      </c>
    </row>
    <row r="3" ht="22.5" customHeight="1">
      <c r="A3" s="17">
        <v>45698.71923611111</v>
      </c>
      <c r="B3" s="18">
        <v>45698.71923611111</v>
      </c>
      <c r="C3" s="6" t="s">
        <v>22</v>
      </c>
      <c r="D3" s="7" t="s">
        <v>129</v>
      </c>
      <c r="E3" s="6" t="s">
        <v>130</v>
      </c>
      <c r="F3" s="7" t="s">
        <v>131</v>
      </c>
      <c r="G3" s="6" t="b">
        <v>1</v>
      </c>
      <c r="H3" s="7" t="s">
        <v>22</v>
      </c>
    </row>
    <row r="4" ht="22.5" customHeight="1">
      <c r="A4" s="17">
        <v>45699.350902777776</v>
      </c>
      <c r="B4" s="18">
        <v>45699.350902777776</v>
      </c>
      <c r="C4" s="6" t="s">
        <v>17</v>
      </c>
      <c r="D4" s="7" t="s">
        <v>132</v>
      </c>
      <c r="E4" s="6" t="s">
        <v>127</v>
      </c>
      <c r="F4" s="7" t="s">
        <v>133</v>
      </c>
      <c r="G4" s="6" t="b">
        <v>1</v>
      </c>
      <c r="H4" s="7" t="s">
        <v>17</v>
      </c>
    </row>
    <row r="5" ht="22.5" customHeight="1">
      <c r="A5" s="17">
        <v>45699.40457175926</v>
      </c>
      <c r="B5" s="18">
        <v>45699.40457175926</v>
      </c>
      <c r="C5" s="6" t="s">
        <v>38</v>
      </c>
      <c r="D5" s="7" t="s">
        <v>134</v>
      </c>
      <c r="E5" s="6" t="s">
        <v>127</v>
      </c>
      <c r="F5" s="7" t="s">
        <v>135</v>
      </c>
      <c r="G5" s="6" t="b">
        <v>1</v>
      </c>
      <c r="H5" s="7" t="s">
        <v>38</v>
      </c>
    </row>
    <row r="6" ht="22.5" customHeight="1">
      <c r="A6" s="17">
        <v>45699.429768518516</v>
      </c>
      <c r="B6" s="18">
        <v>45699.429768518516</v>
      </c>
      <c r="C6" s="6" t="s">
        <v>33</v>
      </c>
      <c r="D6" s="7" t="s">
        <v>136</v>
      </c>
      <c r="E6" s="6" t="s">
        <v>137</v>
      </c>
      <c r="F6" s="7" t="s">
        <v>138</v>
      </c>
      <c r="G6" s="6" t="b">
        <v>1</v>
      </c>
      <c r="H6" s="7" t="s">
        <v>33</v>
      </c>
    </row>
    <row r="7" ht="22.5" customHeight="1">
      <c r="A7" s="17">
        <v>45699.60818287037</v>
      </c>
      <c r="B7" s="18">
        <v>45699.60818287037</v>
      </c>
      <c r="C7" s="6" t="s">
        <v>43</v>
      </c>
      <c r="D7" s="7" t="s">
        <v>139</v>
      </c>
      <c r="E7" s="6" t="s">
        <v>127</v>
      </c>
      <c r="F7" s="7" t="s">
        <v>140</v>
      </c>
      <c r="G7" s="6" t="b">
        <v>1</v>
      </c>
      <c r="H7" s="7" t="s">
        <v>43</v>
      </c>
    </row>
    <row r="8" ht="22.5" customHeight="1">
      <c r="A8" s="17">
        <v>45699.64466435185</v>
      </c>
      <c r="B8" s="18">
        <v>45699.64466435185</v>
      </c>
      <c r="C8" s="6" t="s">
        <v>28</v>
      </c>
      <c r="D8" s="7" t="s">
        <v>141</v>
      </c>
      <c r="E8" s="6" t="s">
        <v>127</v>
      </c>
      <c r="F8" s="7" t="s">
        <v>142</v>
      </c>
      <c r="G8" s="6" t="b">
        <v>1</v>
      </c>
      <c r="H8" s="7" t="s">
        <v>28</v>
      </c>
    </row>
    <row r="9" ht="22.5" customHeight="1">
      <c r="A9" s="17">
        <v>45699.69829861111</v>
      </c>
      <c r="B9" s="18">
        <v>45699.69829861111</v>
      </c>
      <c r="C9" s="6" t="s">
        <v>47</v>
      </c>
      <c r="D9" s="7" t="s">
        <v>143</v>
      </c>
      <c r="E9" s="6" t="s">
        <v>130</v>
      </c>
      <c r="F9" s="7" t="s">
        <v>144</v>
      </c>
      <c r="G9" s="6" t="b">
        <v>1</v>
      </c>
      <c r="H9" s="7" t="s">
        <v>47</v>
      </c>
    </row>
    <row r="10" ht="22.5" customHeight="1">
      <c r="A10" s="17">
        <v>45700.38574074074</v>
      </c>
      <c r="B10" s="18">
        <v>45700.38574074074</v>
      </c>
      <c r="C10" s="6" t="s">
        <v>51</v>
      </c>
      <c r="D10" s="7" t="s">
        <v>145</v>
      </c>
      <c r="E10" s="6" t="s">
        <v>127</v>
      </c>
      <c r="F10" s="7" t="s">
        <v>146</v>
      </c>
      <c r="G10" s="6" t="b">
        <v>1</v>
      </c>
      <c r="H10" s="7" t="s">
        <v>51</v>
      </c>
    </row>
    <row r="11" ht="22.5" customHeight="1">
      <c r="A11" s="17">
        <v>45700.44357638889</v>
      </c>
      <c r="B11" s="18">
        <v>45700.44357638889</v>
      </c>
      <c r="C11" s="6" t="s">
        <v>55</v>
      </c>
      <c r="D11" s="7" t="s">
        <v>147</v>
      </c>
      <c r="E11" s="6" t="s">
        <v>148</v>
      </c>
      <c r="F11" s="7" t="s">
        <v>149</v>
      </c>
      <c r="G11" s="6" t="b">
        <v>1</v>
      </c>
      <c r="H11" s="7" t="s">
        <v>55</v>
      </c>
    </row>
    <row r="12" ht="22.5" customHeight="1">
      <c r="A12" s="17">
        <v>45700.49462962963</v>
      </c>
      <c r="B12" s="18">
        <v>45700.49462962963</v>
      </c>
      <c r="C12" s="6" t="s">
        <v>60</v>
      </c>
      <c r="D12" s="7" t="s">
        <v>150</v>
      </c>
      <c r="E12" s="6" t="s">
        <v>127</v>
      </c>
      <c r="F12" s="7" t="s">
        <v>151</v>
      </c>
      <c r="G12" s="6" t="b">
        <v>1</v>
      </c>
      <c r="H12" s="7" t="s">
        <v>60</v>
      </c>
    </row>
    <row r="13" ht="22.5" customHeight="1">
      <c r="A13" s="17">
        <v>45700.60114583333</v>
      </c>
      <c r="B13" s="18">
        <v>45700.60114583333</v>
      </c>
      <c r="C13" s="6" t="s">
        <v>64</v>
      </c>
      <c r="D13" s="7" t="s">
        <v>152</v>
      </c>
      <c r="E13" s="6" t="s">
        <v>153</v>
      </c>
      <c r="F13" s="7" t="s">
        <v>154</v>
      </c>
      <c r="G13" s="6" t="b">
        <v>1</v>
      </c>
      <c r="H13" s="7" t="s">
        <v>64</v>
      </c>
    </row>
    <row r="14" ht="22.5" customHeight="1">
      <c r="A14" s="17">
        <v>45700.658587962964</v>
      </c>
      <c r="B14" s="18">
        <v>45700.658587962964</v>
      </c>
      <c r="C14" s="6" t="s">
        <v>75</v>
      </c>
      <c r="D14" s="7" t="s">
        <v>155</v>
      </c>
      <c r="E14" s="6" t="s">
        <v>127</v>
      </c>
      <c r="F14" s="7" t="s">
        <v>156</v>
      </c>
      <c r="G14" s="6" t="b">
        <v>1</v>
      </c>
      <c r="H14" s="7" t="s">
        <v>75</v>
      </c>
    </row>
    <row r="15" ht="22.5" customHeight="1">
      <c r="A15" s="17">
        <v>45701.399502314816</v>
      </c>
      <c r="B15" s="18">
        <v>45701.399502314816</v>
      </c>
      <c r="C15" s="6" t="s">
        <v>78</v>
      </c>
      <c r="D15" s="7" t="s">
        <v>157</v>
      </c>
      <c r="E15" s="6" t="s">
        <v>137</v>
      </c>
      <c r="F15" s="7" t="s">
        <v>158</v>
      </c>
      <c r="G15" s="6" t="b">
        <v>1</v>
      </c>
      <c r="H15" s="7" t="s">
        <v>78</v>
      </c>
    </row>
    <row r="16" ht="22.5" customHeight="1">
      <c r="A16" s="17">
        <v>45701.4325</v>
      </c>
      <c r="B16" s="18">
        <v>45701.4325</v>
      </c>
      <c r="C16" s="6" t="s">
        <v>82</v>
      </c>
      <c r="D16" s="7" t="s">
        <v>159</v>
      </c>
      <c r="E16" s="6" t="s">
        <v>130</v>
      </c>
      <c r="F16" s="7" t="s">
        <v>160</v>
      </c>
      <c r="G16" s="6" t="b">
        <v>1</v>
      </c>
      <c r="H16" s="7" t="s">
        <v>82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25"/>
    <col customWidth="1" min="3" max="3" width="19.88"/>
    <col customWidth="1" min="4" max="4" width="20.75"/>
    <col customWidth="1" min="5" max="5" width="20.38"/>
    <col customWidth="1" min="6" max="6" width="17.75"/>
    <col customWidth="1" min="7" max="7" width="25.13"/>
  </cols>
  <sheetData>
    <row r="1">
      <c r="A1" s="19" t="s">
        <v>161</v>
      </c>
      <c r="B1" s="11" t="s">
        <v>162</v>
      </c>
      <c r="C1" s="11" t="s">
        <v>163</v>
      </c>
      <c r="D1" s="11" t="s">
        <v>164</v>
      </c>
      <c r="E1" s="11" t="s">
        <v>165</v>
      </c>
      <c r="F1" s="11" t="s">
        <v>166</v>
      </c>
      <c r="G1" s="11" t="s">
        <v>167</v>
      </c>
    </row>
    <row r="2">
      <c r="A2" s="20" t="str">
        <f t="array" ref="A2:A101">RETORNADES!D2:D1000</f>
        <v>POR002</v>
      </c>
      <c r="B2" s="13" t="str">
        <f>IF(A2="","",IF(COUNTIF(inventari!A:A,A2)&gt;0,"ID_VALID","ID_NO_EXISTEIX"))
</f>
        <v>ID_VALID</v>
      </c>
      <c r="C2" s="12" t="str">
        <f>IF(A2="","",IF(B2="ID_VALID",IF(VLOOKUP(A2,inventari!A:Q,7, FALSE)="En_Prestec","PRESTEC_OK","NO_EN_PRESTEC"),""))
</f>
        <v>PRESTEC_OK</v>
      </c>
      <c r="D2" s="13" t="str">
        <f t="shared" ref="D2:D16" si="1">IF(A2="","",IF(AND(B2="ID_VALID",C2="PRESTEC_OK"),"RETORNADA_VALIDA","ERROR_VALIDACIO"))
</f>
        <v>RETORNADA_VALIDA</v>
      </c>
      <c r="E2" s="12" t="str">
        <f>IF(D2 = "RETORNADA_VALIDA",
IFS(
VLOOKUP(A2, RETORNADES!D:E, 2, FALSE) = "Perfecte", "Disponible",
VLOOKUP(A2, RETORNADES!D:E, 2, FALSE) = "Ratllades lleus", "Disponible",
VLOOKUP(A2, RETORNADES!D:E, 2, FALSE) = "Avaria menor", "Disponible",
VLOOKUP(A2, RETORNADES!D:E, 2, FALSE) = "Avaria greu", "Manteniment",
VLOOKUP(A2, RETORNADES!D:E, 2, FALSE) = "Trencat/Inutilitzable", "Manteniment",
TRUE, "Pendent Revisió"
),
""
)
</f>
        <v>Disponible</v>
      </c>
      <c r="F2" s="13"/>
      <c r="G2" s="21">
        <f>IF(B2="ID_VALID",VLOOKUP(A2,inventari!A:Q,9,FALSE),"")
</f>
        <v>45366</v>
      </c>
    </row>
    <row r="3">
      <c r="A3" s="20" t="s">
        <v>129</v>
      </c>
      <c r="B3" s="13" t="str">
        <f>IF(A3="","",IF(COUNTIF(inventari!A:A,A3)&gt;0,"ID_VALID","ID_NO_EXISTEIX"))
</f>
        <v>ID_VALID</v>
      </c>
      <c r="C3" s="12" t="str">
        <f>IF(A3="","",IF(B3="ID_VALID",IF(VLOOKUP(A3,inventari!A:Q,7, FALSE)="En_Prestec","PRESTEC_OK","NO_EN_PRESTEC"),""))
</f>
        <v>PRESTEC_OK</v>
      </c>
      <c r="D3" s="13" t="str">
        <f t="shared" si="1"/>
        <v>RETORNADA_VALIDA</v>
      </c>
      <c r="E3" s="12" t="str">
        <f>IF(D3 = "RETORNADA_VALIDA",
IFS(
VLOOKUP(A3, RETORNADES!D:E, 2, FALSE) = "Perfecte", "Disponible",
VLOOKUP(A3, RETORNADES!D:E, 2, FALSE) = "Ratllades lleus", "Disponible",
VLOOKUP(A3, RETORNADES!D:E, 2, FALSE) = "Avaria menor", "Disponible",
VLOOKUP(A3, RETORNADES!D:E, 2, FALSE) = "Avaria greu", "Manteniment",
VLOOKUP(A3, RETORNADES!D:E, 2, FALSE) = "Trencat/Inutilitzable", "Manteniment",
TRUE, "Pendent Revisió"
),
""
)
</f>
        <v>Disponible</v>
      </c>
      <c r="F3" s="13" t="str">
        <f>IF(B3="ID_VALID",VLOOKUP(A3,inventari!A:Q,8,FALSE),"")
</f>
        <v>EMP003</v>
      </c>
      <c r="G3" s="21">
        <f>IF(B3="ID_VALID",VLOOKUP(A3,inventari!A:Q,9,FALSE),"")
</f>
        <v>45371</v>
      </c>
    </row>
    <row r="4">
      <c r="A4" s="20" t="s">
        <v>132</v>
      </c>
      <c r="B4" s="13" t="str">
        <f>IF(A4="","",IF(COUNTIF(inventari!A:A,A4)&gt;0,"ID_VALID","ID_NO_EXISTEIX"))
</f>
        <v>ID_VALID</v>
      </c>
      <c r="C4" s="12" t="str">
        <f>IF(A4="","",IF(B4="ID_VALID",IF(VLOOKUP(A4,inventari!A:Q,7, FALSE)="En_Prestec","PRESTEC_OK","NO_EN_PRESTEC"),""))
</f>
        <v>NO_EN_PRESTEC</v>
      </c>
      <c r="D4" s="13" t="str">
        <f t="shared" si="1"/>
        <v>ERROR_VALIDACIO</v>
      </c>
      <c r="E4" s="12" t="str">
        <f>IF(D4 = "RETORNADA_VALIDA",
IFS(
VLOOKUP(A4, RETORNADES!D:E, 2, FALSE) = "Perfecte", "Disponible",
VLOOKUP(A4, RETORNADES!D:E, 2, FALSE) = "Ratllades lleus", "Disponible",
VLOOKUP(A4, RETORNADES!D:E, 2, FALSE) = "Avaria menor", "Disponible",
VLOOKUP(A4, RETORNADES!D:E, 2, FALSE) = "Avaria greu", "Manteniment",
VLOOKUP(A4, RETORNADES!D:E, 2, FALSE) = "Trencat/Inutilitzable", "Manteniment",
TRUE, "Pendent Revisió"
),
""
)
</f>
        <v/>
      </c>
      <c r="F4" s="13" t="str">
        <f>IF(B4="ID_VALID",VLOOKUP(A4,inventari!A:Q,8,FALSE),"")
</f>
        <v/>
      </c>
      <c r="G4" s="12" t="str">
        <f>IF(B4="ID_VALID",VLOOKUP(A4,inventari!A:Q,9,FALSE),"")
</f>
        <v>Error</v>
      </c>
    </row>
    <row r="5">
      <c r="A5" s="20" t="s">
        <v>134</v>
      </c>
      <c r="B5" s="13" t="str">
        <f>IF(A5="","",IF(COUNTIF(inventari!A:A,A5)&gt;0,"ID_VALID","ID_NO_EXISTEIX"))
</f>
        <v>ID_VALID</v>
      </c>
      <c r="C5" s="12" t="str">
        <f>IF(A5="","",IF(B5="ID_VALID",IF(VLOOKUP(A5,inventari!A:Q,7, FALSE)="En_Prestec","PRESTEC_OK","NO_EN_PRESTEC"),""))
</f>
        <v>PRESTEC_OK</v>
      </c>
      <c r="D5" s="13" t="str">
        <f t="shared" si="1"/>
        <v>RETORNADA_VALIDA</v>
      </c>
      <c r="E5" s="12" t="str">
        <f>IF(D5 = "RETORNADA_VALIDA",
IFS(
VLOOKUP(A5, RETORNADES!D:E, 2, FALSE) = "Perfecte", "Disponible",
VLOOKUP(A5, RETORNADES!D:E, 2, FALSE) = "Ratllades lleus", "Disponible",
VLOOKUP(A5, RETORNADES!D:E, 2, FALSE) = "Avaria menor", "Disponible",
VLOOKUP(A5, RETORNADES!D:E, 2, FALSE) = "Avaria greu", "Manteniment",
VLOOKUP(A5, RETORNADES!D:E, 2, FALSE) = "Trencat/Inutilitzable", "Manteniment",
TRUE, "Pendent Revisió"
),
""
)
</f>
        <v>Disponible</v>
      </c>
      <c r="F5" s="13" t="str">
        <f>IF(B5="ID_VALID",VLOOKUP(A5,inventari!A:Q,8,FALSE),"")
</f>
        <v>EMP006</v>
      </c>
      <c r="G5" s="21">
        <f>IF(B5="ID_VALID",VLOOKUP(A5,inventari!A:Q,9,FALSE),"")
</f>
        <v>45367</v>
      </c>
    </row>
    <row r="6">
      <c r="A6" s="20" t="s">
        <v>136</v>
      </c>
      <c r="B6" s="13" t="str">
        <f>IF(A6="","",IF(COUNTIF(inventari!A:A,A6)&gt;0,"ID_VALID","ID_NO_EXISTEIX"))
</f>
        <v>ID_VALID</v>
      </c>
      <c r="C6" s="12" t="str">
        <f>IF(A6="","",IF(B6="ID_VALID",IF(VLOOKUP(A6,inventari!A:Q,7, FALSE)="En_Prestec","PRESTEC_OK","NO_EN_PRESTEC"),""))
</f>
        <v>PRESTEC_OK</v>
      </c>
      <c r="D6" s="13" t="str">
        <f t="shared" si="1"/>
        <v>RETORNADA_VALIDA</v>
      </c>
      <c r="E6" s="12" t="str">
        <f>IF(D6 = "RETORNADA_VALIDA",
IFS(
VLOOKUP(A6, RETORNADES!D:E, 2, FALSE) = "Perfecte", "Disponible",
VLOOKUP(A6, RETORNADES!D:E, 2, FALSE) = "Ratllades lleus", "Disponible",
VLOOKUP(A6, RETORNADES!D:E, 2, FALSE) = "Avaria menor", "Disponible",
VLOOKUP(A6, RETORNADES!D:E, 2, FALSE) = "Avaria greu", "Manteniment",
VLOOKUP(A6, RETORNADES!D:E, 2, FALSE) = "Trencat/Inutilitzable", "Manteniment",
TRUE, "Pendent Revisió"
),
""
)
</f>
        <v>Disponible</v>
      </c>
      <c r="F6" s="13" t="str">
        <f>IF(B6="ID_VALID",VLOOKUP(A6,inventari!A:Q,8,FALSE),"")
</f>
        <v>EMP005</v>
      </c>
      <c r="G6" s="21">
        <f>IF(B6="ID_VALID",VLOOKUP(A6,inventari!A:Q,9,FALSE),"")
</f>
        <v>45374</v>
      </c>
    </row>
    <row r="7">
      <c r="A7" s="20" t="s">
        <v>139</v>
      </c>
      <c r="B7" s="13" t="str">
        <f>IF(A7="","",IF(COUNTIF(inventari!A:A,A7)&gt;0,"ID_VALID","ID_NO_EXISTEIX"))
</f>
        <v>ID_VALID</v>
      </c>
      <c r="C7" s="12" t="str">
        <f>IF(A7="","",IF(B7="ID_VALID",IF(VLOOKUP(A7,inventari!A:Q,7, FALSE)="En_Prestec","PRESTEC_OK","NO_EN_PRESTEC"),""))
</f>
        <v>PRESTEC_OK</v>
      </c>
      <c r="D7" s="13" t="str">
        <f t="shared" si="1"/>
        <v>RETORNADA_VALIDA</v>
      </c>
      <c r="E7" s="12" t="str">
        <f>IF(D7 = "RETORNADA_VALIDA",
IFS(
VLOOKUP(A7, RETORNADES!D:E, 2, FALSE) = "Perfecte", "Disponible",
VLOOKUP(A7, RETORNADES!D:E, 2, FALSE) = "Ratllades lleus", "Disponible",
VLOOKUP(A7, RETORNADES!D:E, 2, FALSE) = "Avaria menor", "Disponible",
VLOOKUP(A7, RETORNADES!D:E, 2, FALSE) = "Avaria greu", "Manteniment",
VLOOKUP(A7, RETORNADES!D:E, 2, FALSE) = "Trencat/Inutilitzable", "Manteniment",
TRUE, "Pendent Revisió"
),
""
)
</f>
        <v>Disponible</v>
      </c>
      <c r="F7" s="13" t="str">
        <f>IF(B7="ID_VALID",VLOOKUP(A7,inventari!A:Q,8,FALSE),"")
</f>
        <v>EMP007</v>
      </c>
      <c r="G7" s="21">
        <f>IF(B7="ID_VALID",VLOOKUP(A7,inventari!A:Q,9,FALSE),"")
</f>
        <v>45369</v>
      </c>
    </row>
    <row r="8">
      <c r="A8" s="20" t="s">
        <v>141</v>
      </c>
      <c r="B8" s="13" t="str">
        <f>IF(A8="","",IF(COUNTIF(inventari!A:A,A8)&gt;0,"ID_VALID","ID_NO_EXISTEIX"))
</f>
        <v>ID_NO_EXISTEIX</v>
      </c>
      <c r="C8" s="12" t="str">
        <f>IF(A8="","",IF(B8="ID_VALID",IF(VLOOKUP(A8,inventari!A:Q,7, FALSE)="En_Prestec","PRESTEC_OK","NO_EN_PRESTEC"),""))
</f>
        <v/>
      </c>
      <c r="D8" s="13" t="str">
        <f t="shared" si="1"/>
        <v>ERROR_VALIDACIO</v>
      </c>
      <c r="E8" s="12" t="str">
        <f>IF(D8 = "RETORNADA_VALIDA",
IFS(
VLOOKUP(A8, RETORNADES!D:E, 2, FALSE) = "Perfecte", "Disponible",
VLOOKUP(A8, RETORNADES!D:E, 2, FALSE) = "Ratllades lleus", "Disponible",
VLOOKUP(A8, RETORNADES!D:E, 2, FALSE) = "Avaria menor", "Disponible",
VLOOKUP(A8, RETORNADES!D:E, 2, FALSE) = "Avaria greu", "Manteniment",
VLOOKUP(A8, RETORNADES!D:E, 2, FALSE) = "Trencat/Inutilitzable", "Manteniment",
TRUE, "Pendent Revisió"
),
""
)
</f>
        <v/>
      </c>
      <c r="F8" s="13" t="str">
        <f>IF(B8="ID_VALID",VLOOKUP(A8,inventari!A:Q,8,FALSE),"")
</f>
        <v/>
      </c>
      <c r="G8" s="12" t="str">
        <f>IF(B8="ID_VALID",VLOOKUP(A8,inventari!A:Q,9,FALSE),"")
</f>
        <v/>
      </c>
    </row>
    <row r="9">
      <c r="A9" s="20" t="s">
        <v>143</v>
      </c>
      <c r="B9" s="13" t="str">
        <f>IF(A9="","",IF(COUNTIF(inventari!A:A,A9)&gt;0,"ID_VALID","ID_NO_EXISTEIX"))
</f>
        <v>ID_VALID</v>
      </c>
      <c r="C9" s="12" t="str">
        <f>IF(A9="","",IF(B9="ID_VALID",IF(VLOOKUP(A9,inventari!A:Q,7, FALSE)="En_Prestec","PRESTEC_OK","NO_EN_PRESTEC"),""))
</f>
        <v>NO_EN_PRESTEC</v>
      </c>
      <c r="D9" s="13" t="str">
        <f t="shared" si="1"/>
        <v>ERROR_VALIDACIO</v>
      </c>
      <c r="E9" s="12" t="str">
        <f>IF(D9 = "RETORNADA_VALIDA",
IFS(
VLOOKUP(A9, RETORNADES!D:E, 2, FALSE) = "Perfecte", "Disponible",
VLOOKUP(A9, RETORNADES!D:E, 2, FALSE) = "Ratllades lleus", "Disponible",
VLOOKUP(A9, RETORNADES!D:E, 2, FALSE) = "Avaria menor", "Disponible",
VLOOKUP(A9, RETORNADES!D:E, 2, FALSE) = "Avaria greu", "Manteniment",
VLOOKUP(A9, RETORNADES!D:E, 2, FALSE) = "Trencat/Inutilitzable", "Manteniment",
TRUE, "Pendent Revisió"
),
""
)
</f>
        <v/>
      </c>
      <c r="F9" s="13" t="str">
        <f>IF(B9="ID_VALID",VLOOKUP(A9,inventari!A:Q,8,FALSE),"")
</f>
        <v/>
      </c>
      <c r="G9" s="12" t="str">
        <f>IF(B9="ID_VALID",VLOOKUP(A9,inventari!A:Q,9,FALSE),"")
</f>
        <v>Error</v>
      </c>
    </row>
    <row r="10">
      <c r="A10" s="20" t="s">
        <v>145</v>
      </c>
      <c r="B10" s="13" t="str">
        <f>IF(A10="","",IF(COUNTIF(inventari!A:A,A10)&gt;0,"ID_VALID","ID_NO_EXISTEIX"))
</f>
        <v>ID_VALID</v>
      </c>
      <c r="C10" s="12" t="str">
        <f>IF(A10="","",IF(B10="ID_VALID",IF(VLOOKUP(A10,inventari!A:Q,7, FALSE)="En_Prestec","PRESTEC_OK","NO_EN_PRESTEC"),""))
</f>
        <v>PRESTEC_OK</v>
      </c>
      <c r="D10" s="13" t="str">
        <f t="shared" si="1"/>
        <v>RETORNADA_VALIDA</v>
      </c>
      <c r="E10" s="12" t="str">
        <f>IF(D10 = "RETORNADA_VALIDA",
IFS(
VLOOKUP(A10, RETORNADES!D:E, 2, FALSE) = "Perfecte", "Disponible",
VLOOKUP(A10, RETORNADES!D:E, 2, FALSE) = "Ratllades lleus", "Disponible",
VLOOKUP(A10, RETORNADES!D:E, 2, FALSE) = "Avaria menor", "Disponible",
VLOOKUP(A10, RETORNADES!D:E, 2, FALSE) = "Avaria greu", "Manteniment",
VLOOKUP(A10, RETORNADES!D:E, 2, FALSE) = "Trencat/Inutilitzable", "Manteniment",
TRUE, "Pendent Revisió"
),
""
)
</f>
        <v>Disponible</v>
      </c>
      <c r="F10" s="13" t="str">
        <f>IF(B10="ID_VALID",VLOOKUP(A10,inventari!A:Q,8,FALSE),"")
</f>
        <v>EMP009</v>
      </c>
      <c r="G10" s="21">
        <f>IF(B10="ID_VALID",VLOOKUP(A10,inventari!A:Q,9,FALSE),"")
</f>
        <v>45372</v>
      </c>
    </row>
    <row r="11">
      <c r="A11" s="20" t="s">
        <v>147</v>
      </c>
      <c r="B11" s="13" t="str">
        <f>IF(A11="","",IF(COUNTIF(inventari!A:A,A11)&gt;0,"ID_VALID","ID_NO_EXISTEIX"))
</f>
        <v>ID_VALID</v>
      </c>
      <c r="C11" s="12" t="str">
        <f>IF(A11="","",IF(B11="ID_VALID",IF(VLOOKUP(A11,inventari!A:Q,7, FALSE)="En_Prestec","PRESTEC_OK","NO_EN_PRESTEC"),""))
</f>
        <v>PRESTEC_OK</v>
      </c>
      <c r="D11" s="13" t="str">
        <f t="shared" si="1"/>
        <v>RETORNADA_VALIDA</v>
      </c>
      <c r="E11" s="12" t="str">
        <f>IF(D11 = "RETORNADA_VALIDA",
IFS(
VLOOKUP(A11, RETORNADES!D:E, 2, FALSE) = "Perfecte", "Disponible",
VLOOKUP(A11, RETORNADES!D:E, 2, FALSE) = "Ratllades lleus", "Disponible",
VLOOKUP(A11, RETORNADES!D:E, 2, FALSE) = "Avaria menor", "Disponible",
VLOOKUP(A11, RETORNADES!D:E, 2, FALSE) = "Avaria greu", "Manteniment",
VLOOKUP(A11, RETORNADES!D:E, 2, FALSE) = "Trencat/Inutilitzable", "Manteniment",
TRUE, "Pendent Revisió"
),
""
)
</f>
        <v>Manteniment</v>
      </c>
      <c r="F11" s="13" t="str">
        <f>IF(B11="ID_VALID",VLOOKUP(A11,inventari!A:Q,8,FALSE),"")
</f>
        <v>EMP010</v>
      </c>
      <c r="G11" s="21">
        <f>IF(B11="ID_VALID",VLOOKUP(A11,inventari!A:Q,9,FALSE),"")
</f>
        <v>45368</v>
      </c>
    </row>
    <row r="12">
      <c r="A12" s="20" t="s">
        <v>150</v>
      </c>
      <c r="B12" s="13" t="str">
        <f>IF(A12="","",IF(COUNTIF(inventari!A:A,A12)&gt;0,"ID_VALID","ID_NO_EXISTEIX"))
</f>
        <v>ID_VALID</v>
      </c>
      <c r="C12" s="12" t="str">
        <f>IF(A12="","",IF(B12="ID_VALID",IF(VLOOKUP(A12,inventari!A:Q,7, FALSE)="En_Prestec","PRESTEC_OK","NO_EN_PRESTEC"),""))
</f>
        <v>PRESTEC_OK</v>
      </c>
      <c r="D12" s="13" t="str">
        <f t="shared" si="1"/>
        <v>RETORNADA_VALIDA</v>
      </c>
      <c r="E12" s="12" t="str">
        <f>IF(D12 = "RETORNADA_VALIDA",
IFS(
VLOOKUP(A12, RETORNADES!D:E, 2, FALSE) = "Perfecte", "Disponible",
VLOOKUP(A12, RETORNADES!D:E, 2, FALSE) = "Ratllades lleus", "Disponible",
VLOOKUP(A12, RETORNADES!D:E, 2, FALSE) = "Avaria menor", "Disponible",
VLOOKUP(A12, RETORNADES!D:E, 2, FALSE) = "Avaria greu", "Manteniment",
VLOOKUP(A12, RETORNADES!D:E, 2, FALSE) = "Trencat/Inutilitzable", "Manteniment",
TRUE, "Pendent Revisió"
),
""
)
</f>
        <v>Disponible</v>
      </c>
      <c r="F12" s="13" t="str">
        <f>IF(B12="ID_VALID",VLOOKUP(A12,inventari!A:Q,8,FALSE),"")
</f>
        <v>EMP011</v>
      </c>
      <c r="G12" s="21">
        <f>IF(B12="ID_VALID",VLOOKUP(A12,inventari!A:Q,9,FALSE),"")
</f>
        <v>45361</v>
      </c>
    </row>
    <row r="13">
      <c r="A13" s="20" t="s">
        <v>152</v>
      </c>
      <c r="B13" s="13" t="str">
        <f>IF(A13="","",IF(COUNTIF(inventari!A:A,A13)&gt;0,"ID_VALID","ID_NO_EXISTEIX"))
</f>
        <v>ID_VALID</v>
      </c>
      <c r="C13" s="12" t="str">
        <f>IF(A13="","",IF(B13="ID_VALID",IF(VLOOKUP(A13,inventari!A:Q,7, FALSE)="En_Prestec","PRESTEC_OK","NO_EN_PRESTEC"),""))
</f>
        <v>PRESTEC_OK</v>
      </c>
      <c r="D13" s="13" t="str">
        <f t="shared" si="1"/>
        <v>RETORNADA_VALIDA</v>
      </c>
      <c r="E13" s="12" t="str">
        <f>IF(D13 = "RETORNADA_VALIDA",
IFS(
VLOOKUP(A13, RETORNADES!D:E, 2, FALSE) = "Perfecte", "Disponible",
VLOOKUP(A13, RETORNADES!D:E, 2, FALSE) = "Ratllades lleus", "Disponible",
VLOOKUP(A13, RETORNADES!D:E, 2, FALSE) = "Avaria menor", "Disponible",
VLOOKUP(A13, RETORNADES!D:E, 2, FALSE) = "Avaria greu", "Manteniment",
VLOOKUP(A13, RETORNADES!D:E, 2, FALSE) = "Trencat/Inutilitzable", "Manteniment",
TRUE, "Pendent Revisió"
),
""
)
</f>
        <v>Manteniment</v>
      </c>
      <c r="F13" s="13" t="str">
        <f>IF(B13="ID_VALID",VLOOKUP(A13,inventari!A:Q,8,FALSE),"")
</f>
        <v>EMP015</v>
      </c>
      <c r="G13" s="21">
        <f>IF(B13="ID_VALID",VLOOKUP(A13,inventari!A:Q,9,FALSE),"")
</f>
        <v>45373</v>
      </c>
    </row>
    <row r="14">
      <c r="A14" s="20" t="s">
        <v>155</v>
      </c>
      <c r="B14" s="13" t="str">
        <f>IF(A14="","",IF(COUNTIF(inventari!A:A,A14)&gt;0,"ID_VALID","ID_NO_EXISTEIX"))
</f>
        <v>ID_VALID</v>
      </c>
      <c r="C14" s="12" t="str">
        <f>IF(A14="","",IF(B14="ID_VALID",IF(VLOOKUP(A14,inventari!A:Q,7, FALSE)="En_Prestec","PRESTEC_OK","NO_EN_PRESTEC"),""))
</f>
        <v>NO_EN_PRESTEC</v>
      </c>
      <c r="D14" s="13" t="str">
        <f t="shared" si="1"/>
        <v>ERROR_VALIDACIO</v>
      </c>
      <c r="E14" s="12" t="str">
        <f>IF(D14 = "RETORNADA_VALIDA",
IFS(
VLOOKUP(A14, RETORNADES!D:E, 2, FALSE) = "Perfecte", "Disponible",
VLOOKUP(A14, RETORNADES!D:E, 2, FALSE) = "Ratllades lleus", "Disponible",
VLOOKUP(A14, RETORNADES!D:E, 2, FALSE) = "Avaria menor", "Disponible",
VLOOKUP(A14, RETORNADES!D:E, 2, FALSE) = "Avaria greu", "Manteniment",
VLOOKUP(A14, RETORNADES!D:E, 2, FALSE) = "Trencat/Inutilitzable", "Manteniment",
TRUE, "Pendent Revisió"
),
""
)
</f>
        <v/>
      </c>
      <c r="F14" s="13" t="str">
        <f>IF(B14="ID_VALID",VLOOKUP(A14,inventari!A:Q,8,FALSE),"")
</f>
        <v/>
      </c>
      <c r="G14" s="12" t="str">
        <f>IF(B14="ID_VALID",VLOOKUP(A14,inventari!A:Q,9,FALSE),"")
</f>
        <v>Error</v>
      </c>
    </row>
    <row r="15">
      <c r="A15" s="20" t="s">
        <v>157</v>
      </c>
      <c r="B15" s="13" t="str">
        <f>IF(A15="","",IF(COUNTIF(inventari!A:A,A15)&gt;0,"ID_VALID","ID_NO_EXISTEIX"))
</f>
        <v>ID_VALID</v>
      </c>
      <c r="C15" s="12" t="str">
        <f>IF(A15="","",IF(B15="ID_VALID",IF(VLOOKUP(A15,inventari!A:Q,7, FALSE)="En_Prestec","PRESTEC_OK","NO_EN_PRESTEC"),""))
</f>
        <v>PRESTEC_OK</v>
      </c>
      <c r="D15" s="13" t="str">
        <f t="shared" si="1"/>
        <v>RETORNADA_VALIDA</v>
      </c>
      <c r="E15" s="12" t="str">
        <f>IF(D15 = "RETORNADA_VALIDA",
IFS(
VLOOKUP(A15, RETORNADES!D:E, 2, FALSE) = "Perfecte", "Disponible",
VLOOKUP(A15, RETORNADES!D:E, 2, FALSE) = "Ratllades lleus", "Disponible",
VLOOKUP(A15, RETORNADES!D:E, 2, FALSE) = "Avaria menor", "Disponible",
VLOOKUP(A15, RETORNADES!D:E, 2, FALSE) = "Avaria greu", "Manteniment",
VLOOKUP(A15, RETORNADES!D:E, 2, FALSE) = "Trencat/Inutilitzable", "Manteniment",
TRUE, "Pendent Revisió"
),
""
)
</f>
        <v>Disponible</v>
      </c>
      <c r="F15" s="13" t="str">
        <f>IF(B15="ID_VALID",VLOOKUP(A15,inventari!A:Q,8,FALSE),"")
</f>
        <v>EMP013</v>
      </c>
      <c r="G15" s="21">
        <f>IF(B15="ID_VALID",VLOOKUP(A15,inventari!A:Q,9,FALSE),"")
</f>
        <v>45365</v>
      </c>
    </row>
    <row r="16">
      <c r="A16" s="20" t="s">
        <v>159</v>
      </c>
      <c r="B16" s="13" t="str">
        <f>IF(A16="","",IF(COUNTIF(inventari!A:A,A16)&gt;0,"ID_VALID","ID_NO_EXISTEIX"))
</f>
        <v>ID_VALID</v>
      </c>
      <c r="C16" s="12" t="str">
        <f>IF(A16="","",IF(B16="ID_VALID",IF(VLOOKUP(A16,inventari!A:Q,7, FALSE)="En_Prestec","PRESTEC_OK","NO_EN_PRESTEC"),""))
</f>
        <v>PRESTEC_OK</v>
      </c>
      <c r="D16" s="13" t="str">
        <f t="shared" si="1"/>
        <v>RETORNADA_VALIDA</v>
      </c>
      <c r="E16" s="12" t="str">
        <f>IF(D16 = "RETORNADA_VALIDA",
IFS(
VLOOKUP(A16, RETORNADES!D:E, 2, FALSE) = "Perfecte", "Disponible",
VLOOKUP(A16, RETORNADES!D:E, 2, FALSE) = "Ratllades lleus", "Disponible",
VLOOKUP(A16, RETORNADES!D:E, 2, FALSE) = "Avaria menor", "Disponible",
VLOOKUP(A16, RETORNADES!D:E, 2, FALSE) = "Avaria greu", "Manteniment",
VLOOKUP(A16, RETORNADES!D:E, 2, FALSE) = "Trencat/Inutilitzable", "Manteniment",
TRUE, "Pendent Revisió"
),
""
)
</f>
        <v>Disponible</v>
      </c>
      <c r="F16" s="13" t="str">
        <f>IF(B16="ID_VALID",VLOOKUP(A16,inventari!A:Q,8,FALSE),"")
</f>
        <v>EMP012</v>
      </c>
      <c r="G16" s="21">
        <f>IF(B16="ID_VALID",VLOOKUP(A16,inventari!A:Q,9,FALSE),"")
</f>
        <v>45350</v>
      </c>
    </row>
    <row r="17">
      <c r="A17" s="15"/>
    </row>
    <row r="18">
      <c r="A18" s="15"/>
    </row>
    <row r="19">
      <c r="A19" s="15"/>
    </row>
    <row r="20">
      <c r="A20" s="15"/>
    </row>
    <row r="21">
      <c r="A21" s="15"/>
    </row>
    <row r="22">
      <c r="A22" s="15"/>
    </row>
    <row r="23">
      <c r="A23" s="15"/>
    </row>
    <row r="24">
      <c r="A24" s="15"/>
    </row>
    <row r="25">
      <c r="A25" s="15"/>
    </row>
    <row r="26">
      <c r="A26" s="15"/>
    </row>
    <row r="27">
      <c r="A27" s="15"/>
    </row>
    <row r="28">
      <c r="A28" s="15"/>
    </row>
    <row r="29">
      <c r="A29" s="15"/>
    </row>
    <row r="30">
      <c r="A30" s="15"/>
    </row>
    <row r="31">
      <c r="A31" s="15"/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4.0"/>
    <col customWidth="1" min="5" max="5" width="23.38"/>
    <col customWidth="1" min="6" max="6" width="40.38"/>
    <col customWidth="1" min="7" max="7" width="14.63"/>
    <col customWidth="1" min="8" max="8" width="20.38"/>
    <col customWidth="1" min="9" max="9" width="19.5"/>
    <col customWidth="1" min="10" max="10" width="20.0"/>
    <col customWidth="1" min="11" max="11" width="18.63"/>
    <col customWidth="1" min="12" max="12" width="22.25"/>
    <col customWidth="1" min="13" max="14" width="19.0"/>
  </cols>
  <sheetData>
    <row r="1">
      <c r="A1" s="22" t="s">
        <v>168</v>
      </c>
      <c r="B1" s="22" t="s">
        <v>169</v>
      </c>
      <c r="C1" s="22" t="s">
        <v>122</v>
      </c>
      <c r="D1" s="22" t="s">
        <v>4</v>
      </c>
      <c r="E1" s="22" t="s">
        <v>170</v>
      </c>
      <c r="F1" s="22" t="s">
        <v>171</v>
      </c>
      <c r="G1" s="22" t="s">
        <v>172</v>
      </c>
      <c r="H1" s="22" t="s">
        <v>6</v>
      </c>
      <c r="I1" s="22" t="s">
        <v>173</v>
      </c>
      <c r="J1" s="22" t="s">
        <v>174</v>
      </c>
      <c r="K1" s="22" t="s">
        <v>175</v>
      </c>
      <c r="L1" s="22" t="s">
        <v>176</v>
      </c>
      <c r="M1" s="22" t="s">
        <v>177</v>
      </c>
      <c r="N1" s="22" t="s">
        <v>178</v>
      </c>
    </row>
    <row r="2">
      <c r="A2" s="23">
        <f t="shared" ref="A2:A14" si="1">IF(B2&lt;&gt;"", ROW()-1, "")</f>
        <v>1</v>
      </c>
      <c r="B2" s="24">
        <f t="array" ref="B2:B1000">AVARIES_AUTO!A2:A1000</f>
        <v>1</v>
      </c>
      <c r="C2" s="23" t="str">
        <f t="array" ref="C2:C1000">AVARIES_AUTO!B2:B1000</f>
        <v>POR007</v>
      </c>
      <c r="D2" s="23" t="str">
        <f>VLOOKUP(C2, inventari!A:Z, 2, FALSE)
</f>
        <v>Portàtil</v>
      </c>
      <c r="E2" s="25" t="str">
        <f>VLOOKUP(B2, AVARIES_AUTO!A:F, 6, FALSE)</f>
        <v>Pantalla trencada</v>
      </c>
      <c r="F2" s="25" t="s">
        <v>179</v>
      </c>
      <c r="G2" s="23" t="str">
        <f>IFERROR(__xludf.DUMMYFUNCTION("(
IF(C2&lt;&gt;"""",
IFERROR(
IF(REGEXMATCH(F2, ""INTERN""),
""INTERN"",
IF(F2=""EXTERN_MARCA_FABRICANT"",
""GARANTIA"",
IF(F2=""EXTERN_SERVEI_TECNIC"",
""PAGAMENT"",
""""
)
)
),
)))"),"GARANTIA")</f>
        <v>GARANTIA</v>
      </c>
      <c r="H2" s="26">
        <v>45712.35434027778</v>
      </c>
      <c r="I2" s="27">
        <f t="shared" ref="I2:I14" si="2">IF(G2="GARANTIA", H2+10, IF(G2="intern", H2+3, IF(G2="PAGAMENT",H2+7,"")))
</f>
        <v>45722.35434</v>
      </c>
      <c r="J2" s="25" t="s">
        <v>180</v>
      </c>
      <c r="K2" s="28">
        <f t="array" ref="K2:K1000">IF(ISBLANK(D2:D1000), "", IF(G2:G1000="GARANTIA", 0, IFERROR( VLOOKUP(D2:D1000, Costos_Reparacio!A:B, 2, FALSE), "COST_NO_TROBAT" ) ) )</f>
        <v>0</v>
      </c>
      <c r="L2" s="23" t="str">
        <f t="shared" ref="L2:L14" si="3">IF(F2="", "No assignat",
IF(OR(F2="INTERN_EMP005", F2="INTERN_EMP015", F2="INTERN_EMP030", F2="INTERN_EMP032"), "INTERN",
IF(F2="EXTERN_SERVEI_TECNIC", "TALLER_LOCAL",
IF(F2="EXTERN_MARCA_FABRICANT", "SERVEI_OFICIAL_MARCA",
"Proveidor_extern"
)
)
)
)</f>
        <v>SERVEI_OFICIAL_MARCA</v>
      </c>
      <c r="M2" s="23"/>
      <c r="N2" s="23"/>
    </row>
    <row r="3">
      <c r="A3" s="23">
        <f t="shared" si="1"/>
        <v>2</v>
      </c>
      <c r="B3" s="24">
        <v>2.0</v>
      </c>
      <c r="C3" s="23" t="s">
        <v>181</v>
      </c>
      <c r="D3" s="23" t="str">
        <f>VLOOKUP(C3, inventari!A:Z, 2, FALSE)
</f>
        <v>Impressora</v>
      </c>
      <c r="E3" s="25" t="str">
        <f>VLOOKUP(B3, AVARIES_AUTO!A:F, 6, FALSE)</f>
        <v>Paper encallat (impressores)</v>
      </c>
      <c r="F3" s="25" t="s">
        <v>182</v>
      </c>
      <c r="G3" s="23" t="str">
        <f>IFERROR(__xludf.DUMMYFUNCTION("(
IF(C3&lt;&gt;"""",
IFERROR(
IF(REGEXMATCH(F3, ""INTERN""),
""INTERN"",
IF(F3=""EXTERN_MARCA_FABRICANT"",
""GARANTIA"",
IF(F3=""EXTERN_SERVEI_TECNIC"",
""PAGAMENT"",
""""
)
)
),
)))"),"INTERN")</f>
        <v>INTERN</v>
      </c>
      <c r="H3" s="26">
        <v>45712.40650462963</v>
      </c>
      <c r="I3" s="27">
        <f t="shared" si="2"/>
        <v>45715.4065</v>
      </c>
      <c r="J3" s="25" t="s">
        <v>180</v>
      </c>
      <c r="K3" s="28">
        <v>75.0</v>
      </c>
      <c r="L3" s="23" t="str">
        <f t="shared" si="3"/>
        <v>Proveidor_extern</v>
      </c>
      <c r="M3" s="23"/>
      <c r="N3" s="23"/>
    </row>
    <row r="4">
      <c r="A4" s="23">
        <f t="shared" si="1"/>
        <v>3</v>
      </c>
      <c r="B4" s="24">
        <v>3.0</v>
      </c>
      <c r="C4" s="23" t="s">
        <v>183</v>
      </c>
      <c r="D4" s="23" t="str">
        <f>VLOOKUP(C4, inventari!A:Z, 2, FALSE)
</f>
        <v>Ratolí</v>
      </c>
      <c r="E4" s="25" t="str">
        <f>VLOOKUP(B4, AVARIES_AUTO!A:F, 6, FALSE)</f>
        <v>Touchpad/ratolí no funciona</v>
      </c>
      <c r="F4" s="25" t="s">
        <v>184</v>
      </c>
      <c r="G4" s="23" t="str">
        <f>IFERROR(__xludf.DUMMYFUNCTION("(
IF(C4&lt;&gt;"""",
IFERROR(
IF(REGEXMATCH(F4, ""INTERN""),
""INTERN"",
IF(F4=""EXTERN_MARCA_FABRICANT"",
""GARANTIA"",
IF(F4=""EXTERN_SERVEI_TECNIC"",
""PAGAMENT"",
""""
)
)
),
)))"),"PAGAMENT")</f>
        <v>PAGAMENT</v>
      </c>
      <c r="H4" s="26">
        <v>45712.427465277775</v>
      </c>
      <c r="I4" s="27">
        <f t="shared" si="2"/>
        <v>45719.42747</v>
      </c>
      <c r="J4" s="25" t="s">
        <v>180</v>
      </c>
      <c r="K4" s="28">
        <v>15.0</v>
      </c>
      <c r="L4" s="23" t="str">
        <f t="shared" si="3"/>
        <v>TALLER_LOCAL</v>
      </c>
      <c r="M4" s="23"/>
      <c r="N4" s="23"/>
    </row>
    <row r="5">
      <c r="A5" s="23">
        <f t="shared" si="1"/>
        <v>4</v>
      </c>
      <c r="B5" s="24">
        <v>4.0</v>
      </c>
      <c r="C5" s="23" t="s">
        <v>185</v>
      </c>
      <c r="D5" s="23" t="str">
        <f>VLOOKUP(C5, inventari!A:Z, 2, FALSE)
</f>
        <v>Monitor</v>
      </c>
      <c r="E5" s="25" t="str">
        <f>VLOOKUP(B5, AVARIES_AUTO!A:F, 6, FALSE)</f>
        <v>Pantalla no funciona</v>
      </c>
      <c r="F5" s="25" t="s">
        <v>184</v>
      </c>
      <c r="G5" s="23" t="str">
        <f>IFERROR(__xludf.DUMMYFUNCTION("(
IF(C5&lt;&gt;"""",
IFERROR(
IF(REGEXMATCH(F5, ""INTERN""),
""INTERN"",
IF(F5=""EXTERN_MARCA_FABRICANT"",
""GARANTIA"",
IF(F5=""EXTERN_SERVEI_TECNIC"",
""PAGAMENT"",
""""
)
)
),
)))"),"PAGAMENT")</f>
        <v>PAGAMENT</v>
      </c>
      <c r="H5" s="26">
        <v>45712.47273148148</v>
      </c>
      <c r="I5" s="27">
        <f t="shared" si="2"/>
        <v>45719.47273</v>
      </c>
      <c r="J5" s="25" t="s">
        <v>180</v>
      </c>
      <c r="K5" s="28">
        <v>85.0</v>
      </c>
      <c r="L5" s="23" t="str">
        <f t="shared" si="3"/>
        <v>TALLER_LOCAL</v>
      </c>
      <c r="M5" s="23"/>
      <c r="N5" s="23"/>
    </row>
    <row r="6">
      <c r="A6" s="23">
        <f t="shared" si="1"/>
        <v>5</v>
      </c>
      <c r="B6" s="24">
        <v>5.0</v>
      </c>
      <c r="C6" s="23" t="s">
        <v>186</v>
      </c>
      <c r="D6" s="23" t="str">
        <f>VLOOKUP(C6, inventari!A:Z, 2, FALSE)
</f>
        <v>Ordinador</v>
      </c>
      <c r="E6" s="25" t="str">
        <f>VLOOKUP(B6, AVARIES_AUTO!A:F, 6, FALSE)</f>
        <v>No s'encén</v>
      </c>
      <c r="F6" s="25" t="s">
        <v>184</v>
      </c>
      <c r="G6" s="23" t="str">
        <f>IFERROR(__xludf.DUMMYFUNCTION("(
IF(C6&lt;&gt;"""",
IFERROR(
IF(REGEXMATCH(F6, ""INTERN""),
""INTERN"",
IF(F6=""EXTERN_MARCA_FABRICANT"",
""GARANTIA"",
IF(F6=""EXTERN_SERVEI_TECNIC"",
""PAGAMENT"",
""""
)
)
),
)))"),"PAGAMENT")</f>
        <v>PAGAMENT</v>
      </c>
      <c r="H6" s="26">
        <v>45712.524502314816</v>
      </c>
      <c r="I6" s="27">
        <f t="shared" si="2"/>
        <v>45719.5245</v>
      </c>
      <c r="J6" s="25" t="s">
        <v>180</v>
      </c>
      <c r="K6" s="28">
        <v>120.0</v>
      </c>
      <c r="L6" s="23" t="str">
        <f t="shared" si="3"/>
        <v>TALLER_LOCAL</v>
      </c>
      <c r="M6" s="23"/>
      <c r="N6" s="23"/>
    </row>
    <row r="7">
      <c r="A7" s="23">
        <f t="shared" si="1"/>
        <v>6</v>
      </c>
      <c r="B7" s="24">
        <v>6.0</v>
      </c>
      <c r="C7" s="23" t="s">
        <v>187</v>
      </c>
      <c r="D7" s="23" t="str">
        <f>VLOOKUP(C7, inventari!A:Z, 2, FALSE)
</f>
        <v>Tàblet</v>
      </c>
      <c r="E7" s="25" t="str">
        <f>VLOOKUP(B7, AVARIES_AUTO!A:F, 6, FALSE)</f>
        <v>Kickstand trencat (tàblets)</v>
      </c>
      <c r="F7" s="25" t="s">
        <v>179</v>
      </c>
      <c r="G7" s="23" t="str">
        <f>IFERROR(__xludf.DUMMYFUNCTION("(
IF(C7&lt;&gt;"""",
IFERROR(
IF(REGEXMATCH(F7, ""INTERN""),
""INTERN"",
IF(F7=""EXTERN_MARCA_FABRICANT"",
""GARANTIA"",
IF(F7=""EXTERN_SERVEI_TECNIC"",
""PAGAMENT"",
""""
)
)
),
)))"),"GARANTIA")</f>
        <v>GARANTIA</v>
      </c>
      <c r="H7" s="26">
        <v>45712.599282407406</v>
      </c>
      <c r="I7" s="27">
        <f t="shared" si="2"/>
        <v>45722.59928</v>
      </c>
      <c r="J7" s="25" t="s">
        <v>180</v>
      </c>
      <c r="K7" s="28">
        <v>0.0</v>
      </c>
      <c r="L7" s="23" t="str">
        <f t="shared" si="3"/>
        <v>SERVEI_OFICIAL_MARCA</v>
      </c>
      <c r="M7" s="23"/>
      <c r="N7" s="23"/>
    </row>
    <row r="8">
      <c r="A8" s="23">
        <f t="shared" si="1"/>
        <v>7</v>
      </c>
      <c r="B8" s="24">
        <v>7.0</v>
      </c>
      <c r="C8" s="23" t="s">
        <v>188</v>
      </c>
      <c r="D8" s="23" t="str">
        <f>VLOOKUP(C8, inventari!A:Z, 2, FALSE)
</f>
        <v>Mòbil</v>
      </c>
      <c r="E8" s="25" t="str">
        <f>VLOOKUP(B8, AVARIES_AUTO!A:F, 6, FALSE)</f>
        <v>Bateria no carrega</v>
      </c>
      <c r="F8" s="25" t="s">
        <v>179</v>
      </c>
      <c r="G8" s="23" t="str">
        <f>IFERROR(__xludf.DUMMYFUNCTION("(
IF(C8&lt;&gt;"""",
IFERROR(
IF(REGEXMATCH(F8, ""INTERN""),
""INTERN"",
IF(F8=""EXTERN_MARCA_FABRICANT"",
""GARANTIA"",
IF(F8=""EXTERN_SERVEI_TECNIC"",
""PAGAMENT"",
""""
)
)
),
)))"),"GARANTIA")</f>
        <v>GARANTIA</v>
      </c>
      <c r="H8" s="26">
        <v>45712.63232638889</v>
      </c>
      <c r="I8" s="27">
        <f t="shared" si="2"/>
        <v>45722.63233</v>
      </c>
      <c r="J8" s="25" t="s">
        <v>180</v>
      </c>
      <c r="K8" s="28">
        <v>0.0</v>
      </c>
      <c r="L8" s="23" t="str">
        <f t="shared" si="3"/>
        <v>SERVEI_OFICIAL_MARCA</v>
      </c>
      <c r="M8" s="23"/>
      <c r="N8" s="23"/>
    </row>
    <row r="9">
      <c r="A9" s="23">
        <f t="shared" si="1"/>
        <v>8</v>
      </c>
      <c r="B9" s="24">
        <v>8.0</v>
      </c>
      <c r="C9" s="23" t="s">
        <v>189</v>
      </c>
      <c r="D9" s="23" t="str">
        <f>VLOOKUP(C9, inventari!A:Z, 2, FALSE)
</f>
        <v>Càmera</v>
      </c>
      <c r="E9" s="25" t="str">
        <f>VLOOKUP(B9, AVARIES_AUTO!A:F, 6, FALSE)</f>
        <v>Càmera no enfoca</v>
      </c>
      <c r="F9" s="25" t="s">
        <v>184</v>
      </c>
      <c r="G9" s="23" t="str">
        <f>IFERROR(__xludf.DUMMYFUNCTION("(
IF(C9&lt;&gt;"""",
IFERROR(
IF(REGEXMATCH(F9, ""INTERN""),
""INTERN"",
IF(F9=""EXTERN_MARCA_FABRICANT"",
""GARANTIA"",
IF(F9=""EXTERN_SERVEI_TECNIC"",
""PAGAMENT"",
""""
)
)
),
)))"),"PAGAMENT")</f>
        <v>PAGAMENT</v>
      </c>
      <c r="H9" s="26">
        <v>45712.69805555556</v>
      </c>
      <c r="I9" s="27">
        <f t="shared" si="2"/>
        <v>45719.69806</v>
      </c>
      <c r="J9" s="25" t="s">
        <v>180</v>
      </c>
      <c r="K9" s="28">
        <v>180.0</v>
      </c>
      <c r="L9" s="23" t="str">
        <f t="shared" si="3"/>
        <v>TALLER_LOCAL</v>
      </c>
      <c r="M9" s="23"/>
      <c r="N9" s="23"/>
    </row>
    <row r="10">
      <c r="A10" s="23">
        <f t="shared" si="1"/>
        <v>9</v>
      </c>
      <c r="B10" s="24">
        <v>9.0</v>
      </c>
      <c r="C10" s="23" t="s">
        <v>190</v>
      </c>
      <c r="D10" s="23" t="str">
        <f>VLOOKUP(C10, inventari!A:Z, 2, FALSE)
</f>
        <v>Projector</v>
      </c>
      <c r="E10" s="25" t="str">
        <f>VLOOKUP(B10, AVARIES_AUTO!A:F, 6, FALSE)</f>
        <v>Projector sense imatge</v>
      </c>
      <c r="F10" s="25" t="s">
        <v>184</v>
      </c>
      <c r="G10" s="23" t="str">
        <f>IFERROR(__xludf.DUMMYFUNCTION("(
IF(C10&lt;&gt;"""",
IFERROR(
IF(REGEXMATCH(F10, ""INTERN""),
""INTERN"",
IF(F10=""EXTERN_MARCA_FABRICANT"",
""GARANTIA"",
IF(F10=""EXTERN_SERVEI_TECNIC"",
""PAGAMENT"",
""""
)
)
),
)))"),"PAGAMENT")</f>
        <v>PAGAMENT</v>
      </c>
      <c r="H10" s="26">
        <v>45712.72945601852</v>
      </c>
      <c r="I10" s="27">
        <f t="shared" si="2"/>
        <v>45719.72946</v>
      </c>
      <c r="J10" s="25" t="s">
        <v>180</v>
      </c>
      <c r="K10" s="28">
        <v>200.0</v>
      </c>
      <c r="L10" s="23" t="str">
        <f t="shared" si="3"/>
        <v>TALLER_LOCAL</v>
      </c>
      <c r="M10" s="23"/>
      <c r="N10" s="23"/>
    </row>
    <row r="11">
      <c r="A11" s="23">
        <f t="shared" si="1"/>
        <v>10</v>
      </c>
      <c r="B11" s="24">
        <v>10.0</v>
      </c>
      <c r="C11" s="23" t="s">
        <v>191</v>
      </c>
      <c r="D11" s="23" t="str">
        <f>VLOOKUP(C11, inventari!A:Z, 2, FALSE)
</f>
        <v>#N/A</v>
      </c>
      <c r="E11" s="25" t="str">
        <f>VLOOKUP(B11, AVARIES_AUTO!A:F, 6, FALSE)</f>
        <v>Software corromput</v>
      </c>
      <c r="F11" s="23"/>
      <c r="G11" s="23" t="str">
        <f>IFERROR(__xludf.DUMMYFUNCTION("(
IF(C11&lt;&gt;"""",
IFERROR(
IF(REGEXMATCH(F11, ""INTERN""),
""INTERN"",
IF(F11=""EXTERN_MARCA_FABRICANT"",
""GARANTIA"",
IF(F11=""EXTERN_SERVEI_TECNIC"",
""PAGAMENT"",
""""
)
)
),
)))"),"")</f>
        <v/>
      </c>
      <c r="H11" s="26">
        <v>45713.38590277778</v>
      </c>
      <c r="I11" s="23" t="str">
        <f t="shared" si="2"/>
        <v/>
      </c>
      <c r="J11" s="25" t="s">
        <v>180</v>
      </c>
      <c r="K11" s="28" t="s">
        <v>192</v>
      </c>
      <c r="L11" s="23" t="str">
        <f t="shared" si="3"/>
        <v>No assignat</v>
      </c>
      <c r="M11" s="23"/>
      <c r="N11" s="23"/>
    </row>
    <row r="12">
      <c r="A12" s="23">
        <f t="shared" si="1"/>
        <v>11</v>
      </c>
      <c r="B12" s="24">
        <v>11.0</v>
      </c>
      <c r="C12" s="23" t="s">
        <v>193</v>
      </c>
      <c r="D12" s="23" t="str">
        <f>VLOOKUP(C12, inventari!A:Z, 2, FALSE)
</f>
        <v>Portàtil</v>
      </c>
      <c r="E12" s="25" t="str">
        <f>VLOOKUP(B12, AVARIES_AUTO!A:F, 6, FALSE)</f>
        <v>Lentitud extrema</v>
      </c>
      <c r="F12" s="25" t="s">
        <v>184</v>
      </c>
      <c r="G12" s="23" t="str">
        <f>IFERROR(__xludf.DUMMYFUNCTION("(
IF(C12&lt;&gt;"""",
IFERROR(
IF(REGEXMATCH(F12, ""INTERN""),
""INTERN"",
IF(F12=""EXTERN_MARCA_FABRICANT"",
""GARANTIA"",
IF(F12=""EXTERN_SERVEI_TECNIC"",
""PAGAMENT"",
""""
)
)
),
)))"),"PAGAMENT")</f>
        <v>PAGAMENT</v>
      </c>
      <c r="H12" s="26">
        <v>45713.436527777776</v>
      </c>
      <c r="I12" s="27">
        <f t="shared" si="2"/>
        <v>45720.43653</v>
      </c>
      <c r="J12" s="25" t="s">
        <v>180</v>
      </c>
      <c r="K12" s="28">
        <v>150.0</v>
      </c>
      <c r="L12" s="23" t="str">
        <f t="shared" si="3"/>
        <v>TALLER_LOCAL</v>
      </c>
      <c r="M12" s="23"/>
      <c r="N12" s="23"/>
    </row>
    <row r="13">
      <c r="A13" s="23">
        <f t="shared" si="1"/>
        <v>12</v>
      </c>
      <c r="B13" s="24">
        <v>12.0</v>
      </c>
      <c r="C13" s="23" t="s">
        <v>194</v>
      </c>
      <c r="D13" s="23" t="str">
        <f>VLOOKUP(C13, inventari!A:Z, 2, FALSE)
</f>
        <v>Disc extern</v>
      </c>
      <c r="E13" s="25" t="str">
        <f>VLOOKUP(B13, AVARIES_AUTO!A:F, 6, FALSE)</f>
        <v>Altres</v>
      </c>
      <c r="F13" s="25" t="s">
        <v>195</v>
      </c>
      <c r="G13" s="23" t="str">
        <f>IFERROR(__xludf.DUMMYFUNCTION("(
IF(C13&lt;&gt;"""",
IFERROR(
IF(REGEXMATCH(F13, ""INTERN""),
""INTERN"",
IF(F13=""EXTERN_MARCA_FABRICANT"",
""GARANTIA"",
IF(F13=""EXTERN_SERVEI_TECNIC"",
""PAGAMENT"",
""""
)
)
),
)))"),"INTERN")</f>
        <v>INTERN</v>
      </c>
      <c r="H13" s="26">
        <v>45713.489803240744</v>
      </c>
      <c r="I13" s="27">
        <f t="shared" si="2"/>
        <v>45716.4898</v>
      </c>
      <c r="J13" s="25" t="s">
        <v>180</v>
      </c>
      <c r="K13" s="28">
        <v>60.0</v>
      </c>
      <c r="L13" s="23" t="str">
        <f t="shared" si="3"/>
        <v>Proveidor_extern</v>
      </c>
      <c r="M13" s="23"/>
      <c r="N13" s="23"/>
    </row>
    <row r="14">
      <c r="A14" s="23">
        <f t="shared" si="1"/>
        <v>13</v>
      </c>
      <c r="B14" s="24">
        <v>13.0</v>
      </c>
      <c r="C14" s="23" t="s">
        <v>196</v>
      </c>
      <c r="D14" s="23" t="str">
        <f>VLOOKUP(C14, inventari!A:Z, 2, FALSE)
</f>
        <v>Teclat</v>
      </c>
      <c r="E14" s="25" t="str">
        <f>VLOOKUP(B14, AVARIES_AUTO!A:F, 6, FALSE)</f>
        <v>Teclat no funciona</v>
      </c>
      <c r="F14" s="25" t="s">
        <v>197</v>
      </c>
      <c r="G14" s="23" t="str">
        <f>IFERROR(__xludf.DUMMYFUNCTION("(
IF(C14&lt;&gt;"""",
IFERROR(
IF(REGEXMATCH(F14, ""INTERN""),
""INTERN"",
IF(F14=""EXTERN_MARCA_FABRICANT"",
""GARANTIA"",
IF(F14=""EXTERN_SERVEI_TECNIC"",
""PAGAMENT"",
""""
)
)
),
)))"),"INTERN")</f>
        <v>INTERN</v>
      </c>
      <c r="H14" s="26">
        <v>45713.59915509259</v>
      </c>
      <c r="I14" s="27">
        <f t="shared" si="2"/>
        <v>45716.59916</v>
      </c>
      <c r="J14" s="25" t="s">
        <v>180</v>
      </c>
      <c r="K14" s="28">
        <v>25.0</v>
      </c>
      <c r="L14" s="23" t="str">
        <f t="shared" si="3"/>
        <v>Proveidor_extern</v>
      </c>
      <c r="M14" s="23"/>
      <c r="N14" s="23"/>
    </row>
    <row r="15">
      <c r="B15" s="15"/>
      <c r="C15" s="15"/>
      <c r="I15" s="29"/>
      <c r="K15" s="15" t="s">
        <v>198</v>
      </c>
    </row>
    <row r="16">
      <c r="B16" s="15"/>
      <c r="C16" s="15"/>
      <c r="I16" s="29"/>
      <c r="K16" s="15" t="s">
        <v>198</v>
      </c>
    </row>
    <row r="17">
      <c r="B17" s="15"/>
      <c r="C17" s="15"/>
      <c r="K17" s="15" t="s">
        <v>198</v>
      </c>
    </row>
    <row r="18">
      <c r="B18" s="15"/>
      <c r="C18" s="15"/>
      <c r="K18" s="15" t="s">
        <v>198</v>
      </c>
    </row>
    <row r="19">
      <c r="B19" s="15"/>
      <c r="C19" s="15"/>
      <c r="K19" s="15" t="s">
        <v>198</v>
      </c>
    </row>
    <row r="20">
      <c r="B20" s="15"/>
      <c r="C20" s="15"/>
      <c r="K20" s="15" t="s">
        <v>198</v>
      </c>
    </row>
    <row r="21">
      <c r="B21" s="15"/>
      <c r="C21" s="15"/>
      <c r="K21" s="15" t="s">
        <v>198</v>
      </c>
    </row>
    <row r="22">
      <c r="B22" s="15"/>
      <c r="C22" s="15"/>
      <c r="K22" s="15" t="s">
        <v>198</v>
      </c>
    </row>
    <row r="23">
      <c r="B23" s="15"/>
      <c r="C23" s="15"/>
      <c r="K23" s="15" t="s">
        <v>198</v>
      </c>
    </row>
    <row r="24">
      <c r="B24" s="15"/>
      <c r="C24" s="15"/>
      <c r="K24" s="15" t="s">
        <v>198</v>
      </c>
    </row>
    <row r="25">
      <c r="B25" s="15"/>
      <c r="C25" s="15"/>
      <c r="K25" s="15" t="s">
        <v>198</v>
      </c>
    </row>
    <row r="26">
      <c r="B26" s="15"/>
      <c r="C26" s="15"/>
      <c r="K26" s="15" t="s">
        <v>198</v>
      </c>
    </row>
    <row r="27">
      <c r="B27" s="15"/>
      <c r="C27" s="15"/>
      <c r="K27" s="15" t="s">
        <v>198</v>
      </c>
    </row>
    <row r="28">
      <c r="B28" s="15"/>
      <c r="C28" s="15"/>
      <c r="K28" s="15" t="s">
        <v>198</v>
      </c>
    </row>
    <row r="29">
      <c r="B29" s="15"/>
      <c r="C29" s="15"/>
      <c r="K29" s="15" t="s">
        <v>198</v>
      </c>
    </row>
    <row r="30">
      <c r="B30" s="15"/>
      <c r="C30" s="15"/>
      <c r="K30" s="15" t="s">
        <v>198</v>
      </c>
    </row>
    <row r="31">
      <c r="B31" s="15"/>
      <c r="C31" s="15"/>
      <c r="K31" s="15" t="s">
        <v>198</v>
      </c>
    </row>
    <row r="32">
      <c r="B32" s="15"/>
      <c r="C32" s="15"/>
      <c r="K32" s="15" t="s">
        <v>198</v>
      </c>
    </row>
    <row r="33">
      <c r="B33" s="15"/>
      <c r="C33" s="15"/>
      <c r="K33" s="15" t="s">
        <v>198</v>
      </c>
    </row>
    <row r="34">
      <c r="B34" s="15"/>
      <c r="C34" s="15"/>
      <c r="K34" s="15" t="s">
        <v>198</v>
      </c>
    </row>
    <row r="35">
      <c r="B35" s="15"/>
      <c r="C35" s="15"/>
      <c r="K35" s="15" t="s">
        <v>198</v>
      </c>
    </row>
    <row r="36">
      <c r="B36" s="15"/>
      <c r="C36" s="15"/>
      <c r="K36" s="15" t="s">
        <v>198</v>
      </c>
    </row>
    <row r="37">
      <c r="B37" s="15"/>
      <c r="C37" s="15"/>
      <c r="K37" s="15" t="s">
        <v>198</v>
      </c>
    </row>
    <row r="38">
      <c r="B38" s="15"/>
      <c r="C38" s="15"/>
      <c r="K38" s="15" t="s">
        <v>198</v>
      </c>
    </row>
    <row r="39">
      <c r="B39" s="15"/>
      <c r="C39" s="15"/>
      <c r="K39" s="15" t="s">
        <v>198</v>
      </c>
    </row>
    <row r="40">
      <c r="B40" s="15"/>
      <c r="C40" s="15"/>
      <c r="K40" s="15" t="s">
        <v>198</v>
      </c>
    </row>
    <row r="41">
      <c r="B41" s="15"/>
      <c r="C41" s="15"/>
      <c r="K41" s="15" t="s">
        <v>198</v>
      </c>
    </row>
    <row r="42">
      <c r="B42" s="15"/>
      <c r="C42" s="15"/>
      <c r="K42" s="15" t="s">
        <v>198</v>
      </c>
    </row>
    <row r="43">
      <c r="B43" s="15"/>
      <c r="C43" s="15"/>
      <c r="K43" s="15" t="s">
        <v>198</v>
      </c>
    </row>
    <row r="44">
      <c r="B44" s="15"/>
      <c r="C44" s="15"/>
      <c r="K44" s="15" t="s">
        <v>198</v>
      </c>
    </row>
    <row r="45">
      <c r="B45" s="15"/>
      <c r="C45" s="15"/>
      <c r="K45" s="15" t="s">
        <v>198</v>
      </c>
    </row>
    <row r="46">
      <c r="B46" s="15"/>
      <c r="C46" s="15"/>
      <c r="K46" s="15" t="s">
        <v>198</v>
      </c>
    </row>
    <row r="47">
      <c r="B47" s="15"/>
      <c r="C47" s="15"/>
      <c r="K47" s="15" t="s">
        <v>198</v>
      </c>
    </row>
    <row r="48">
      <c r="B48" s="15"/>
      <c r="C48" s="15"/>
      <c r="K48" s="15" t="s">
        <v>198</v>
      </c>
    </row>
    <row r="49">
      <c r="B49" s="15"/>
      <c r="C49" s="15"/>
      <c r="K49" s="15" t="s">
        <v>198</v>
      </c>
    </row>
    <row r="50">
      <c r="B50" s="15"/>
      <c r="C50" s="15"/>
      <c r="K50" s="15" t="s">
        <v>198</v>
      </c>
    </row>
    <row r="51">
      <c r="B51" s="15"/>
      <c r="C51" s="15"/>
      <c r="K51" s="15" t="s">
        <v>198</v>
      </c>
    </row>
    <row r="52">
      <c r="B52" s="15"/>
      <c r="C52" s="15"/>
      <c r="K52" s="15" t="s">
        <v>198</v>
      </c>
    </row>
    <row r="53">
      <c r="B53" s="15"/>
      <c r="C53" s="15"/>
      <c r="K53" s="15" t="s">
        <v>198</v>
      </c>
    </row>
    <row r="54">
      <c r="B54" s="15"/>
      <c r="C54" s="15"/>
      <c r="K54" s="15" t="s">
        <v>198</v>
      </c>
    </row>
    <row r="55">
      <c r="B55" s="15"/>
      <c r="C55" s="15"/>
      <c r="K55" s="15" t="s">
        <v>198</v>
      </c>
    </row>
    <row r="56">
      <c r="B56" s="15"/>
      <c r="C56" s="15"/>
      <c r="K56" s="15" t="s">
        <v>198</v>
      </c>
    </row>
    <row r="57">
      <c r="B57" s="15"/>
      <c r="C57" s="15"/>
      <c r="K57" s="15" t="s">
        <v>198</v>
      </c>
    </row>
    <row r="58">
      <c r="B58" s="15"/>
      <c r="C58" s="15"/>
      <c r="K58" s="15" t="s">
        <v>198</v>
      </c>
    </row>
    <row r="59">
      <c r="B59" s="15"/>
      <c r="C59" s="15"/>
      <c r="K59" s="15" t="s">
        <v>198</v>
      </c>
    </row>
    <row r="60">
      <c r="B60" s="15"/>
      <c r="C60" s="15"/>
      <c r="K60" s="15" t="s">
        <v>198</v>
      </c>
    </row>
    <row r="61">
      <c r="B61" s="15"/>
      <c r="C61" s="15"/>
      <c r="K61" s="15" t="s">
        <v>198</v>
      </c>
    </row>
    <row r="62">
      <c r="B62" s="15"/>
      <c r="C62" s="15"/>
      <c r="K62" s="15" t="s">
        <v>198</v>
      </c>
    </row>
    <row r="63">
      <c r="B63" s="15"/>
      <c r="C63" s="15"/>
      <c r="K63" s="15" t="s">
        <v>198</v>
      </c>
    </row>
    <row r="64">
      <c r="B64" s="15"/>
      <c r="C64" s="15"/>
      <c r="K64" s="15" t="s">
        <v>198</v>
      </c>
    </row>
    <row r="65">
      <c r="B65" s="15"/>
      <c r="C65" s="15"/>
      <c r="K65" s="15" t="s">
        <v>198</v>
      </c>
    </row>
    <row r="66">
      <c r="B66" s="15"/>
      <c r="C66" s="15"/>
      <c r="K66" s="15" t="s">
        <v>198</v>
      </c>
    </row>
    <row r="67">
      <c r="B67" s="15"/>
      <c r="C67" s="15"/>
      <c r="K67" s="15" t="s">
        <v>198</v>
      </c>
    </row>
    <row r="68">
      <c r="B68" s="15"/>
      <c r="C68" s="15"/>
      <c r="K68" s="15" t="s">
        <v>198</v>
      </c>
    </row>
    <row r="69">
      <c r="B69" s="15"/>
      <c r="C69" s="15"/>
      <c r="K69" s="15" t="s">
        <v>198</v>
      </c>
    </row>
    <row r="70">
      <c r="B70" s="15"/>
      <c r="C70" s="15"/>
      <c r="K70" s="15" t="s">
        <v>198</v>
      </c>
    </row>
    <row r="71">
      <c r="B71" s="15"/>
      <c r="C71" s="15"/>
      <c r="K71" s="15" t="s">
        <v>198</v>
      </c>
    </row>
    <row r="72">
      <c r="B72" s="15"/>
      <c r="C72" s="15"/>
      <c r="K72" s="15" t="s">
        <v>198</v>
      </c>
    </row>
    <row r="73">
      <c r="B73" s="15"/>
      <c r="C73" s="15"/>
      <c r="K73" s="15" t="s">
        <v>198</v>
      </c>
    </row>
    <row r="74">
      <c r="B74" s="15"/>
      <c r="C74" s="15"/>
      <c r="K74" s="15" t="s">
        <v>198</v>
      </c>
    </row>
    <row r="75">
      <c r="B75" s="15"/>
      <c r="C75" s="15"/>
      <c r="K75" s="15" t="s">
        <v>198</v>
      </c>
    </row>
    <row r="76">
      <c r="B76" s="15"/>
      <c r="C76" s="15"/>
      <c r="K76" s="15" t="s">
        <v>198</v>
      </c>
    </row>
    <row r="77">
      <c r="B77" s="15"/>
      <c r="C77" s="15"/>
      <c r="K77" s="15" t="s">
        <v>198</v>
      </c>
    </row>
    <row r="78">
      <c r="B78" s="15"/>
      <c r="C78" s="15"/>
      <c r="K78" s="15" t="s">
        <v>198</v>
      </c>
    </row>
    <row r="79">
      <c r="B79" s="15"/>
      <c r="C79" s="15"/>
      <c r="K79" s="15" t="s">
        <v>198</v>
      </c>
    </row>
    <row r="80">
      <c r="B80" s="15"/>
      <c r="C80" s="15"/>
      <c r="K80" s="15" t="s">
        <v>198</v>
      </c>
    </row>
    <row r="81">
      <c r="B81" s="15"/>
      <c r="C81" s="15"/>
      <c r="K81" s="15" t="s">
        <v>198</v>
      </c>
    </row>
    <row r="82">
      <c r="B82" s="15"/>
      <c r="C82" s="15"/>
      <c r="K82" s="15" t="s">
        <v>198</v>
      </c>
    </row>
    <row r="83">
      <c r="B83" s="15"/>
      <c r="C83" s="15"/>
      <c r="K83" s="15" t="s">
        <v>198</v>
      </c>
    </row>
    <row r="84">
      <c r="B84" s="15"/>
      <c r="C84" s="15"/>
      <c r="K84" s="15" t="s">
        <v>198</v>
      </c>
    </row>
    <row r="85">
      <c r="B85" s="15"/>
      <c r="C85" s="15"/>
      <c r="K85" s="15" t="s">
        <v>198</v>
      </c>
    </row>
    <row r="86">
      <c r="B86" s="15"/>
      <c r="C86" s="15"/>
      <c r="K86" s="15" t="s">
        <v>198</v>
      </c>
    </row>
    <row r="87">
      <c r="B87" s="15"/>
      <c r="C87" s="15"/>
      <c r="K87" s="15" t="s">
        <v>198</v>
      </c>
    </row>
    <row r="88">
      <c r="B88" s="15"/>
      <c r="C88" s="15"/>
      <c r="K88" s="15" t="s">
        <v>198</v>
      </c>
    </row>
    <row r="89">
      <c r="B89" s="15"/>
      <c r="C89" s="15"/>
      <c r="K89" s="15" t="s">
        <v>198</v>
      </c>
    </row>
    <row r="90">
      <c r="B90" s="15"/>
      <c r="C90" s="15"/>
      <c r="K90" s="15" t="s">
        <v>198</v>
      </c>
    </row>
    <row r="91">
      <c r="B91" s="15"/>
      <c r="C91" s="15"/>
      <c r="K91" s="15" t="s">
        <v>198</v>
      </c>
    </row>
    <row r="92">
      <c r="B92" s="15"/>
      <c r="C92" s="15"/>
      <c r="K92" s="15" t="s">
        <v>198</v>
      </c>
    </row>
    <row r="93">
      <c r="B93" s="15"/>
      <c r="C93" s="15"/>
      <c r="K93" s="15" t="s">
        <v>198</v>
      </c>
    </row>
    <row r="94">
      <c r="B94" s="15"/>
      <c r="C94" s="15"/>
      <c r="K94" s="15" t="s">
        <v>198</v>
      </c>
    </row>
    <row r="95">
      <c r="B95" s="15"/>
      <c r="C95" s="15"/>
      <c r="K95" s="15" t="s">
        <v>198</v>
      </c>
    </row>
    <row r="96">
      <c r="B96" s="15"/>
      <c r="C96" s="15"/>
      <c r="K96" s="15" t="s">
        <v>198</v>
      </c>
    </row>
    <row r="97">
      <c r="B97" s="15"/>
      <c r="C97" s="15"/>
      <c r="K97" s="15" t="s">
        <v>198</v>
      </c>
    </row>
    <row r="98">
      <c r="B98" s="15"/>
      <c r="C98" s="15"/>
      <c r="K98" s="15" t="s">
        <v>198</v>
      </c>
    </row>
    <row r="99">
      <c r="B99" s="15"/>
      <c r="C99" s="15"/>
      <c r="K99" s="15" t="s">
        <v>198</v>
      </c>
    </row>
    <row r="100">
      <c r="B100" s="15"/>
      <c r="C100" s="15"/>
      <c r="K100" s="15" t="s">
        <v>198</v>
      </c>
    </row>
    <row r="101">
      <c r="B101" s="15"/>
      <c r="C101" s="15"/>
      <c r="K101" s="15" t="s">
        <v>198</v>
      </c>
    </row>
    <row r="102">
      <c r="B102" s="15"/>
      <c r="C102" s="15"/>
      <c r="K102" s="15" t="s">
        <v>198</v>
      </c>
    </row>
    <row r="103">
      <c r="B103" s="15"/>
      <c r="C103" s="15"/>
      <c r="K103" s="15" t="s">
        <v>198</v>
      </c>
    </row>
    <row r="104">
      <c r="B104" s="15"/>
      <c r="C104" s="15"/>
      <c r="K104" s="15" t="s">
        <v>198</v>
      </c>
    </row>
    <row r="105">
      <c r="B105" s="15"/>
      <c r="C105" s="15"/>
      <c r="K105" s="15" t="s">
        <v>198</v>
      </c>
    </row>
    <row r="106">
      <c r="B106" s="15"/>
      <c r="C106" s="15"/>
      <c r="K106" s="15" t="s">
        <v>198</v>
      </c>
    </row>
    <row r="107">
      <c r="B107" s="15"/>
      <c r="C107" s="15"/>
      <c r="K107" s="15" t="s">
        <v>198</v>
      </c>
    </row>
    <row r="108">
      <c r="B108" s="15"/>
      <c r="C108" s="15"/>
      <c r="K108" s="15" t="s">
        <v>198</v>
      </c>
    </row>
    <row r="109">
      <c r="B109" s="15"/>
      <c r="C109" s="15"/>
      <c r="K109" s="15" t="s">
        <v>198</v>
      </c>
    </row>
    <row r="110">
      <c r="B110" s="15"/>
      <c r="C110" s="15"/>
      <c r="K110" s="15" t="s">
        <v>198</v>
      </c>
    </row>
    <row r="111">
      <c r="B111" s="15"/>
      <c r="C111" s="15"/>
      <c r="K111" s="15" t="s">
        <v>198</v>
      </c>
    </row>
    <row r="112">
      <c r="B112" s="15"/>
      <c r="C112" s="15"/>
      <c r="K112" s="15" t="s">
        <v>198</v>
      </c>
    </row>
    <row r="113">
      <c r="B113" s="15"/>
      <c r="C113" s="15"/>
      <c r="K113" s="15" t="s">
        <v>198</v>
      </c>
    </row>
    <row r="114">
      <c r="B114" s="15"/>
      <c r="C114" s="15"/>
      <c r="K114" s="15" t="s">
        <v>198</v>
      </c>
    </row>
    <row r="115">
      <c r="B115" s="15"/>
      <c r="C115" s="15"/>
      <c r="K115" s="15" t="s">
        <v>198</v>
      </c>
    </row>
    <row r="116">
      <c r="B116" s="15"/>
      <c r="C116" s="15"/>
      <c r="K116" s="15" t="s">
        <v>198</v>
      </c>
    </row>
    <row r="117">
      <c r="B117" s="15"/>
      <c r="C117" s="15"/>
      <c r="K117" s="15" t="s">
        <v>198</v>
      </c>
    </row>
    <row r="118">
      <c r="B118" s="15"/>
      <c r="C118" s="15"/>
      <c r="K118" s="15" t="s">
        <v>198</v>
      </c>
    </row>
    <row r="119">
      <c r="B119" s="15"/>
      <c r="C119" s="15"/>
      <c r="K119" s="15" t="s">
        <v>198</v>
      </c>
    </row>
    <row r="120">
      <c r="B120" s="15"/>
      <c r="C120" s="15"/>
      <c r="K120" s="15" t="s">
        <v>198</v>
      </c>
    </row>
    <row r="121">
      <c r="B121" s="15"/>
      <c r="C121" s="15"/>
      <c r="K121" s="15" t="s">
        <v>198</v>
      </c>
    </row>
    <row r="122">
      <c r="B122" s="15"/>
      <c r="C122" s="15"/>
      <c r="K122" s="15" t="s">
        <v>198</v>
      </c>
    </row>
    <row r="123">
      <c r="B123" s="15"/>
      <c r="C123" s="15"/>
      <c r="K123" s="15" t="s">
        <v>198</v>
      </c>
    </row>
    <row r="124">
      <c r="B124" s="15"/>
      <c r="C124" s="15"/>
      <c r="K124" s="15" t="s">
        <v>198</v>
      </c>
    </row>
    <row r="125">
      <c r="B125" s="15"/>
      <c r="C125" s="15"/>
      <c r="K125" s="15" t="s">
        <v>198</v>
      </c>
    </row>
    <row r="126">
      <c r="B126" s="15"/>
      <c r="C126" s="15"/>
      <c r="K126" s="15" t="s">
        <v>198</v>
      </c>
    </row>
    <row r="127">
      <c r="B127" s="15"/>
      <c r="C127" s="15"/>
      <c r="K127" s="15" t="s">
        <v>198</v>
      </c>
    </row>
    <row r="128">
      <c r="B128" s="15"/>
      <c r="C128" s="15"/>
      <c r="K128" s="15" t="s">
        <v>198</v>
      </c>
    </row>
    <row r="129">
      <c r="B129" s="15"/>
      <c r="C129" s="15"/>
      <c r="K129" s="15" t="s">
        <v>198</v>
      </c>
    </row>
    <row r="130">
      <c r="B130" s="15"/>
      <c r="C130" s="15"/>
      <c r="K130" s="15" t="s">
        <v>198</v>
      </c>
    </row>
    <row r="131">
      <c r="B131" s="15"/>
      <c r="C131" s="15"/>
      <c r="K131" s="15" t="s">
        <v>198</v>
      </c>
    </row>
    <row r="132">
      <c r="B132" s="15"/>
      <c r="C132" s="15"/>
      <c r="K132" s="15" t="s">
        <v>198</v>
      </c>
    </row>
    <row r="133">
      <c r="B133" s="15"/>
      <c r="C133" s="15"/>
      <c r="K133" s="15" t="s">
        <v>198</v>
      </c>
    </row>
    <row r="134">
      <c r="B134" s="15"/>
      <c r="C134" s="15"/>
      <c r="K134" s="15" t="s">
        <v>198</v>
      </c>
    </row>
    <row r="135">
      <c r="B135" s="15"/>
      <c r="C135" s="15"/>
      <c r="K135" s="15" t="s">
        <v>198</v>
      </c>
    </row>
    <row r="136">
      <c r="B136" s="15"/>
      <c r="C136" s="15"/>
      <c r="K136" s="15" t="s">
        <v>198</v>
      </c>
    </row>
    <row r="137">
      <c r="B137" s="15"/>
      <c r="C137" s="15"/>
      <c r="K137" s="15" t="s">
        <v>198</v>
      </c>
    </row>
    <row r="138">
      <c r="B138" s="15"/>
      <c r="C138" s="15"/>
      <c r="K138" s="15" t="s">
        <v>198</v>
      </c>
    </row>
    <row r="139">
      <c r="B139" s="15"/>
      <c r="C139" s="15"/>
      <c r="K139" s="15" t="s">
        <v>198</v>
      </c>
    </row>
    <row r="140">
      <c r="B140" s="15"/>
      <c r="C140" s="15"/>
      <c r="K140" s="15" t="s">
        <v>198</v>
      </c>
    </row>
    <row r="141">
      <c r="B141" s="15"/>
      <c r="C141" s="15"/>
      <c r="K141" s="15" t="s">
        <v>198</v>
      </c>
    </row>
    <row r="142">
      <c r="B142" s="15"/>
      <c r="C142" s="15"/>
      <c r="K142" s="15" t="s">
        <v>198</v>
      </c>
    </row>
    <row r="143">
      <c r="B143" s="15"/>
      <c r="C143" s="15"/>
      <c r="K143" s="15" t="s">
        <v>198</v>
      </c>
    </row>
    <row r="144">
      <c r="B144" s="15"/>
      <c r="C144" s="15"/>
      <c r="K144" s="15" t="s">
        <v>198</v>
      </c>
    </row>
    <row r="145">
      <c r="B145" s="15"/>
      <c r="C145" s="15"/>
      <c r="K145" s="15" t="s">
        <v>198</v>
      </c>
    </row>
    <row r="146">
      <c r="B146" s="15"/>
      <c r="C146" s="15"/>
      <c r="K146" s="15" t="s">
        <v>198</v>
      </c>
    </row>
    <row r="147">
      <c r="B147" s="15"/>
      <c r="C147" s="15"/>
      <c r="K147" s="15" t="s">
        <v>198</v>
      </c>
    </row>
    <row r="148">
      <c r="B148" s="15"/>
      <c r="C148" s="15"/>
      <c r="K148" s="15" t="s">
        <v>198</v>
      </c>
    </row>
    <row r="149">
      <c r="B149" s="15"/>
      <c r="C149" s="15"/>
      <c r="K149" s="15" t="s">
        <v>198</v>
      </c>
    </row>
    <row r="150">
      <c r="B150" s="15"/>
      <c r="C150" s="15"/>
      <c r="K150" s="15" t="s">
        <v>198</v>
      </c>
    </row>
    <row r="151">
      <c r="B151" s="15"/>
      <c r="C151" s="15"/>
      <c r="K151" s="15" t="s">
        <v>198</v>
      </c>
    </row>
    <row r="152">
      <c r="B152" s="15"/>
      <c r="C152" s="15"/>
      <c r="K152" s="15" t="s">
        <v>198</v>
      </c>
    </row>
    <row r="153">
      <c r="B153" s="15"/>
      <c r="C153" s="15"/>
      <c r="K153" s="15" t="s">
        <v>198</v>
      </c>
    </row>
    <row r="154">
      <c r="B154" s="15"/>
      <c r="C154" s="15"/>
      <c r="K154" s="15" t="s">
        <v>198</v>
      </c>
    </row>
    <row r="155">
      <c r="B155" s="15"/>
      <c r="C155" s="15"/>
      <c r="K155" s="15" t="s">
        <v>198</v>
      </c>
    </row>
    <row r="156">
      <c r="B156" s="15"/>
      <c r="C156" s="15"/>
      <c r="K156" s="15" t="s">
        <v>198</v>
      </c>
    </row>
    <row r="157">
      <c r="B157" s="15"/>
      <c r="C157" s="15"/>
      <c r="K157" s="15" t="s">
        <v>198</v>
      </c>
    </row>
    <row r="158">
      <c r="B158" s="15"/>
      <c r="C158" s="15"/>
      <c r="K158" s="15" t="s">
        <v>198</v>
      </c>
    </row>
    <row r="159">
      <c r="B159" s="15"/>
      <c r="C159" s="15"/>
      <c r="K159" s="15" t="s">
        <v>198</v>
      </c>
    </row>
    <row r="160">
      <c r="B160" s="15"/>
      <c r="C160" s="15"/>
      <c r="K160" s="15" t="s">
        <v>198</v>
      </c>
    </row>
    <row r="161">
      <c r="B161" s="15"/>
      <c r="C161" s="15"/>
      <c r="K161" s="15" t="s">
        <v>198</v>
      </c>
    </row>
    <row r="162">
      <c r="B162" s="15"/>
      <c r="C162" s="15"/>
      <c r="K162" s="15" t="s">
        <v>198</v>
      </c>
    </row>
    <row r="163">
      <c r="B163" s="15"/>
      <c r="C163" s="15"/>
      <c r="K163" s="15" t="s">
        <v>198</v>
      </c>
    </row>
    <row r="164">
      <c r="B164" s="15"/>
      <c r="C164" s="15"/>
      <c r="K164" s="15" t="s">
        <v>198</v>
      </c>
    </row>
    <row r="165">
      <c r="B165" s="15"/>
      <c r="C165" s="15"/>
      <c r="K165" s="15" t="s">
        <v>198</v>
      </c>
    </row>
    <row r="166">
      <c r="B166" s="15"/>
      <c r="C166" s="15"/>
      <c r="K166" s="15" t="s">
        <v>198</v>
      </c>
    </row>
    <row r="167">
      <c r="B167" s="15"/>
      <c r="C167" s="15"/>
      <c r="K167" s="15" t="s">
        <v>198</v>
      </c>
    </row>
    <row r="168">
      <c r="B168" s="15"/>
      <c r="C168" s="15"/>
      <c r="K168" s="15" t="s">
        <v>198</v>
      </c>
    </row>
    <row r="169">
      <c r="B169" s="15"/>
      <c r="C169" s="15"/>
      <c r="K169" s="15" t="s">
        <v>198</v>
      </c>
    </row>
    <row r="170">
      <c r="B170" s="15"/>
      <c r="C170" s="15"/>
      <c r="K170" s="15" t="s">
        <v>198</v>
      </c>
    </row>
    <row r="171">
      <c r="B171" s="15"/>
      <c r="C171" s="15"/>
      <c r="K171" s="15" t="s">
        <v>198</v>
      </c>
    </row>
    <row r="172">
      <c r="B172" s="15"/>
      <c r="C172" s="15"/>
      <c r="K172" s="15" t="s">
        <v>198</v>
      </c>
    </row>
    <row r="173">
      <c r="B173" s="15"/>
      <c r="C173" s="15"/>
      <c r="K173" s="15" t="s">
        <v>198</v>
      </c>
    </row>
    <row r="174">
      <c r="B174" s="15"/>
      <c r="C174" s="15"/>
      <c r="K174" s="15" t="s">
        <v>198</v>
      </c>
    </row>
    <row r="175">
      <c r="B175" s="15"/>
      <c r="C175" s="15"/>
      <c r="K175" s="15" t="s">
        <v>198</v>
      </c>
    </row>
    <row r="176">
      <c r="B176" s="15"/>
      <c r="C176" s="15"/>
      <c r="K176" s="15" t="s">
        <v>198</v>
      </c>
    </row>
    <row r="177">
      <c r="B177" s="15"/>
      <c r="C177" s="15"/>
      <c r="K177" s="15" t="s">
        <v>198</v>
      </c>
    </row>
    <row r="178">
      <c r="B178" s="15"/>
      <c r="C178" s="15"/>
      <c r="K178" s="15" t="s">
        <v>198</v>
      </c>
    </row>
    <row r="179">
      <c r="B179" s="15"/>
      <c r="C179" s="15"/>
      <c r="K179" s="15" t="s">
        <v>198</v>
      </c>
    </row>
    <row r="180">
      <c r="B180" s="15"/>
      <c r="C180" s="15"/>
      <c r="K180" s="15" t="s">
        <v>198</v>
      </c>
    </row>
    <row r="181">
      <c r="B181" s="15"/>
      <c r="C181" s="15"/>
      <c r="K181" s="15" t="s">
        <v>198</v>
      </c>
    </row>
    <row r="182">
      <c r="B182" s="15"/>
      <c r="C182" s="15"/>
      <c r="K182" s="15" t="s">
        <v>198</v>
      </c>
    </row>
    <row r="183">
      <c r="B183" s="15"/>
      <c r="C183" s="15"/>
      <c r="K183" s="15" t="s">
        <v>198</v>
      </c>
    </row>
    <row r="184">
      <c r="B184" s="15"/>
      <c r="C184" s="15"/>
      <c r="K184" s="15" t="s">
        <v>198</v>
      </c>
    </row>
    <row r="185">
      <c r="B185" s="15"/>
      <c r="C185" s="15"/>
      <c r="K185" s="15" t="s">
        <v>198</v>
      </c>
    </row>
    <row r="186">
      <c r="B186" s="15"/>
      <c r="C186" s="15"/>
      <c r="K186" s="15" t="s">
        <v>198</v>
      </c>
    </row>
    <row r="187">
      <c r="B187" s="15"/>
      <c r="C187" s="15"/>
      <c r="K187" s="15" t="s">
        <v>198</v>
      </c>
    </row>
    <row r="188">
      <c r="B188" s="15"/>
      <c r="C188" s="15"/>
      <c r="K188" s="15" t="s">
        <v>198</v>
      </c>
    </row>
    <row r="189">
      <c r="B189" s="15"/>
      <c r="C189" s="15"/>
      <c r="K189" s="15" t="s">
        <v>198</v>
      </c>
    </row>
    <row r="190">
      <c r="B190" s="15"/>
      <c r="C190" s="15"/>
      <c r="K190" s="15" t="s">
        <v>198</v>
      </c>
    </row>
    <row r="191">
      <c r="B191" s="15"/>
      <c r="C191" s="15"/>
      <c r="K191" s="15" t="s">
        <v>198</v>
      </c>
    </row>
    <row r="192">
      <c r="B192" s="15"/>
      <c r="C192" s="15"/>
      <c r="K192" s="15" t="s">
        <v>198</v>
      </c>
    </row>
    <row r="193">
      <c r="B193" s="15"/>
      <c r="C193" s="15"/>
      <c r="K193" s="15" t="s">
        <v>198</v>
      </c>
    </row>
    <row r="194">
      <c r="B194" s="15"/>
      <c r="C194" s="15"/>
      <c r="K194" s="15" t="s">
        <v>198</v>
      </c>
    </row>
    <row r="195">
      <c r="B195" s="15"/>
      <c r="C195" s="15"/>
      <c r="K195" s="15" t="s">
        <v>198</v>
      </c>
    </row>
    <row r="196">
      <c r="B196" s="15"/>
      <c r="C196" s="15"/>
      <c r="K196" s="15" t="s">
        <v>198</v>
      </c>
    </row>
    <row r="197">
      <c r="B197" s="15"/>
      <c r="C197" s="15"/>
      <c r="K197" s="15" t="s">
        <v>198</v>
      </c>
    </row>
    <row r="198">
      <c r="B198" s="15"/>
      <c r="C198" s="15"/>
      <c r="K198" s="15" t="s">
        <v>198</v>
      </c>
    </row>
    <row r="199">
      <c r="B199" s="15"/>
      <c r="C199" s="15"/>
      <c r="K199" s="15" t="s">
        <v>198</v>
      </c>
    </row>
    <row r="200">
      <c r="B200" s="15"/>
      <c r="C200" s="15"/>
      <c r="K200" s="15" t="s">
        <v>198</v>
      </c>
    </row>
    <row r="201">
      <c r="B201" s="15"/>
      <c r="C201" s="15"/>
      <c r="K201" s="15" t="s">
        <v>198</v>
      </c>
    </row>
    <row r="202">
      <c r="B202" s="15"/>
      <c r="C202" s="15"/>
      <c r="K202" s="15" t="s">
        <v>198</v>
      </c>
    </row>
    <row r="203">
      <c r="B203" s="15"/>
      <c r="C203" s="15"/>
      <c r="K203" s="15" t="s">
        <v>198</v>
      </c>
    </row>
    <row r="204">
      <c r="B204" s="15"/>
      <c r="C204" s="15"/>
      <c r="K204" s="15" t="s">
        <v>198</v>
      </c>
    </row>
    <row r="205">
      <c r="B205" s="15"/>
      <c r="C205" s="15"/>
      <c r="K205" s="15" t="s">
        <v>198</v>
      </c>
    </row>
    <row r="206">
      <c r="B206" s="15"/>
      <c r="C206" s="15"/>
      <c r="K206" s="15" t="s">
        <v>198</v>
      </c>
    </row>
    <row r="207">
      <c r="B207" s="15"/>
      <c r="C207" s="15"/>
      <c r="K207" s="15" t="s">
        <v>198</v>
      </c>
    </row>
    <row r="208">
      <c r="B208" s="15"/>
      <c r="C208" s="15"/>
      <c r="K208" s="15" t="s">
        <v>198</v>
      </c>
    </row>
    <row r="209">
      <c r="B209" s="15"/>
      <c r="C209" s="15"/>
      <c r="K209" s="15" t="s">
        <v>198</v>
      </c>
    </row>
    <row r="210">
      <c r="B210" s="15"/>
      <c r="C210" s="15"/>
      <c r="K210" s="15" t="s">
        <v>198</v>
      </c>
    </row>
    <row r="211">
      <c r="B211" s="15"/>
      <c r="C211" s="15"/>
      <c r="K211" s="15" t="s">
        <v>198</v>
      </c>
    </row>
    <row r="212">
      <c r="B212" s="15"/>
      <c r="C212" s="15"/>
      <c r="K212" s="15" t="s">
        <v>198</v>
      </c>
    </row>
    <row r="213">
      <c r="B213" s="15"/>
      <c r="C213" s="15"/>
      <c r="K213" s="15" t="s">
        <v>198</v>
      </c>
    </row>
    <row r="214">
      <c r="B214" s="15"/>
      <c r="C214" s="15"/>
      <c r="K214" s="15" t="s">
        <v>198</v>
      </c>
    </row>
    <row r="215">
      <c r="B215" s="15"/>
      <c r="C215" s="15"/>
      <c r="K215" s="15" t="s">
        <v>198</v>
      </c>
    </row>
    <row r="216">
      <c r="B216" s="15"/>
      <c r="C216" s="15"/>
      <c r="K216" s="15" t="s">
        <v>198</v>
      </c>
    </row>
    <row r="217">
      <c r="B217" s="15"/>
      <c r="C217" s="15"/>
      <c r="K217" s="15" t="s">
        <v>198</v>
      </c>
    </row>
    <row r="218">
      <c r="B218" s="15"/>
      <c r="C218" s="15"/>
      <c r="K218" s="15" t="s">
        <v>198</v>
      </c>
    </row>
    <row r="219">
      <c r="B219" s="15"/>
      <c r="C219" s="15"/>
      <c r="K219" s="15" t="s">
        <v>198</v>
      </c>
    </row>
    <row r="220">
      <c r="B220" s="15"/>
      <c r="C220" s="15"/>
      <c r="K220" s="15" t="s">
        <v>198</v>
      </c>
    </row>
    <row r="221">
      <c r="B221" s="15"/>
      <c r="C221" s="15"/>
      <c r="K221" s="15" t="s">
        <v>198</v>
      </c>
    </row>
    <row r="222">
      <c r="B222" s="15"/>
      <c r="C222" s="15"/>
      <c r="K222" s="15" t="s">
        <v>198</v>
      </c>
    </row>
    <row r="223">
      <c r="B223" s="15"/>
      <c r="C223" s="15"/>
      <c r="K223" s="15" t="s">
        <v>198</v>
      </c>
    </row>
    <row r="224">
      <c r="B224" s="15"/>
      <c r="C224" s="15"/>
      <c r="K224" s="15" t="s">
        <v>198</v>
      </c>
    </row>
    <row r="225">
      <c r="B225" s="15"/>
      <c r="C225" s="15"/>
      <c r="K225" s="15" t="s">
        <v>198</v>
      </c>
    </row>
    <row r="226">
      <c r="B226" s="15"/>
      <c r="C226" s="15"/>
      <c r="K226" s="15" t="s">
        <v>198</v>
      </c>
    </row>
    <row r="227">
      <c r="B227" s="15"/>
      <c r="C227" s="15"/>
      <c r="K227" s="15" t="s">
        <v>198</v>
      </c>
    </row>
    <row r="228">
      <c r="B228" s="15"/>
      <c r="C228" s="15"/>
      <c r="K228" s="15" t="s">
        <v>198</v>
      </c>
    </row>
    <row r="229">
      <c r="B229" s="15"/>
      <c r="C229" s="15"/>
      <c r="K229" s="15" t="s">
        <v>198</v>
      </c>
    </row>
    <row r="230">
      <c r="B230" s="15"/>
      <c r="C230" s="15"/>
      <c r="K230" s="15" t="s">
        <v>198</v>
      </c>
    </row>
    <row r="231">
      <c r="B231" s="15"/>
      <c r="C231" s="15"/>
      <c r="K231" s="15" t="s">
        <v>198</v>
      </c>
    </row>
    <row r="232">
      <c r="B232" s="15"/>
      <c r="C232" s="15"/>
      <c r="K232" s="15" t="s">
        <v>198</v>
      </c>
    </row>
    <row r="233">
      <c r="B233" s="15"/>
      <c r="C233" s="15"/>
      <c r="K233" s="15" t="s">
        <v>198</v>
      </c>
    </row>
    <row r="234">
      <c r="B234" s="15"/>
      <c r="C234" s="15"/>
      <c r="K234" s="15" t="s">
        <v>198</v>
      </c>
    </row>
    <row r="235">
      <c r="B235" s="15"/>
      <c r="C235" s="15"/>
      <c r="K235" s="15" t="s">
        <v>198</v>
      </c>
    </row>
    <row r="236">
      <c r="B236" s="15"/>
      <c r="C236" s="15"/>
      <c r="K236" s="15" t="s">
        <v>198</v>
      </c>
    </row>
    <row r="237">
      <c r="B237" s="15"/>
      <c r="C237" s="15"/>
      <c r="K237" s="15" t="s">
        <v>198</v>
      </c>
    </row>
    <row r="238">
      <c r="B238" s="15"/>
      <c r="C238" s="15"/>
      <c r="K238" s="15" t="s">
        <v>198</v>
      </c>
    </row>
    <row r="239">
      <c r="B239" s="15"/>
      <c r="C239" s="15"/>
      <c r="K239" s="15" t="s">
        <v>198</v>
      </c>
    </row>
    <row r="240">
      <c r="B240" s="15"/>
      <c r="C240" s="15"/>
      <c r="K240" s="15" t="s">
        <v>198</v>
      </c>
    </row>
    <row r="241">
      <c r="B241" s="15"/>
      <c r="C241" s="15"/>
      <c r="K241" s="15" t="s">
        <v>198</v>
      </c>
    </row>
    <row r="242">
      <c r="B242" s="15"/>
      <c r="C242" s="15"/>
      <c r="K242" s="15" t="s">
        <v>198</v>
      </c>
    </row>
    <row r="243">
      <c r="B243" s="15"/>
      <c r="C243" s="15"/>
      <c r="K243" s="15" t="s">
        <v>198</v>
      </c>
    </row>
    <row r="244">
      <c r="B244" s="15"/>
      <c r="C244" s="15"/>
      <c r="K244" s="15" t="s">
        <v>198</v>
      </c>
    </row>
    <row r="245">
      <c r="B245" s="15"/>
      <c r="C245" s="15"/>
      <c r="K245" s="15" t="s">
        <v>198</v>
      </c>
    </row>
    <row r="246">
      <c r="B246" s="15"/>
      <c r="C246" s="15"/>
      <c r="K246" s="15" t="s">
        <v>198</v>
      </c>
    </row>
    <row r="247">
      <c r="B247" s="15"/>
      <c r="C247" s="15"/>
      <c r="K247" s="15" t="s">
        <v>198</v>
      </c>
    </row>
    <row r="248">
      <c r="B248" s="15"/>
      <c r="C248" s="15"/>
      <c r="K248" s="15" t="s">
        <v>198</v>
      </c>
    </row>
    <row r="249">
      <c r="B249" s="15"/>
      <c r="C249" s="15"/>
      <c r="K249" s="15" t="s">
        <v>198</v>
      </c>
    </row>
    <row r="250">
      <c r="B250" s="15"/>
      <c r="C250" s="15"/>
      <c r="K250" s="15" t="s">
        <v>198</v>
      </c>
    </row>
    <row r="251">
      <c r="B251" s="15"/>
      <c r="C251" s="15"/>
      <c r="K251" s="15" t="s">
        <v>198</v>
      </c>
    </row>
    <row r="252">
      <c r="B252" s="15"/>
      <c r="C252" s="15"/>
      <c r="K252" s="15" t="s">
        <v>198</v>
      </c>
    </row>
    <row r="253">
      <c r="B253" s="15"/>
      <c r="C253" s="15"/>
      <c r="K253" s="15" t="s">
        <v>198</v>
      </c>
    </row>
    <row r="254">
      <c r="B254" s="15"/>
      <c r="C254" s="15"/>
      <c r="K254" s="15" t="s">
        <v>198</v>
      </c>
    </row>
    <row r="255">
      <c r="B255" s="15"/>
      <c r="C255" s="15"/>
      <c r="K255" s="15" t="s">
        <v>198</v>
      </c>
    </row>
    <row r="256">
      <c r="B256" s="15"/>
      <c r="C256" s="15"/>
      <c r="K256" s="15" t="s">
        <v>198</v>
      </c>
    </row>
    <row r="257">
      <c r="B257" s="15"/>
      <c r="C257" s="15"/>
      <c r="K257" s="15" t="s">
        <v>198</v>
      </c>
    </row>
    <row r="258">
      <c r="B258" s="15"/>
      <c r="C258" s="15"/>
      <c r="K258" s="15" t="s">
        <v>198</v>
      </c>
    </row>
    <row r="259">
      <c r="B259" s="15"/>
      <c r="C259" s="15"/>
      <c r="K259" s="15" t="s">
        <v>198</v>
      </c>
    </row>
    <row r="260">
      <c r="B260" s="15"/>
      <c r="C260" s="15"/>
      <c r="K260" s="15" t="s">
        <v>198</v>
      </c>
    </row>
    <row r="261">
      <c r="B261" s="15"/>
      <c r="C261" s="15"/>
      <c r="K261" s="15" t="s">
        <v>198</v>
      </c>
    </row>
    <row r="262">
      <c r="B262" s="15"/>
      <c r="C262" s="15"/>
      <c r="K262" s="15" t="s">
        <v>198</v>
      </c>
    </row>
    <row r="263">
      <c r="B263" s="15"/>
      <c r="C263" s="15"/>
      <c r="K263" s="15" t="s">
        <v>198</v>
      </c>
    </row>
    <row r="264">
      <c r="B264" s="15"/>
      <c r="C264" s="15"/>
      <c r="K264" s="15" t="s">
        <v>198</v>
      </c>
    </row>
    <row r="265">
      <c r="B265" s="15"/>
      <c r="C265" s="15"/>
      <c r="K265" s="15" t="s">
        <v>198</v>
      </c>
    </row>
    <row r="266">
      <c r="B266" s="15"/>
      <c r="C266" s="15"/>
      <c r="K266" s="15" t="s">
        <v>198</v>
      </c>
    </row>
    <row r="267">
      <c r="B267" s="15"/>
      <c r="C267" s="15"/>
      <c r="K267" s="15" t="s">
        <v>198</v>
      </c>
    </row>
    <row r="268">
      <c r="B268" s="15"/>
      <c r="C268" s="15"/>
      <c r="K268" s="15" t="s">
        <v>198</v>
      </c>
    </row>
    <row r="269">
      <c r="B269" s="15"/>
      <c r="C269" s="15"/>
      <c r="K269" s="15" t="s">
        <v>198</v>
      </c>
    </row>
    <row r="270">
      <c r="B270" s="15"/>
      <c r="C270" s="15"/>
      <c r="K270" s="15" t="s">
        <v>198</v>
      </c>
    </row>
    <row r="271">
      <c r="B271" s="15"/>
      <c r="C271" s="15"/>
      <c r="K271" s="15" t="s">
        <v>198</v>
      </c>
    </row>
    <row r="272">
      <c r="B272" s="15"/>
      <c r="C272" s="15"/>
      <c r="K272" s="15" t="s">
        <v>198</v>
      </c>
    </row>
    <row r="273">
      <c r="B273" s="15"/>
      <c r="C273" s="15"/>
      <c r="K273" s="15" t="s">
        <v>198</v>
      </c>
    </row>
    <row r="274">
      <c r="B274" s="15"/>
      <c r="C274" s="15"/>
      <c r="K274" s="15" t="s">
        <v>198</v>
      </c>
    </row>
    <row r="275">
      <c r="B275" s="15"/>
      <c r="C275" s="15"/>
      <c r="K275" s="15" t="s">
        <v>198</v>
      </c>
    </row>
    <row r="276">
      <c r="B276" s="15"/>
      <c r="C276" s="15"/>
      <c r="K276" s="15" t="s">
        <v>198</v>
      </c>
    </row>
    <row r="277">
      <c r="B277" s="15"/>
      <c r="C277" s="15"/>
      <c r="K277" s="15" t="s">
        <v>198</v>
      </c>
    </row>
    <row r="278">
      <c r="B278" s="15"/>
      <c r="C278" s="15"/>
      <c r="K278" s="15" t="s">
        <v>198</v>
      </c>
    </row>
    <row r="279">
      <c r="B279" s="15"/>
      <c r="C279" s="15"/>
      <c r="K279" s="15" t="s">
        <v>198</v>
      </c>
    </row>
    <row r="280">
      <c r="B280" s="15"/>
      <c r="C280" s="15"/>
      <c r="K280" s="15" t="s">
        <v>198</v>
      </c>
    </row>
    <row r="281">
      <c r="B281" s="15"/>
      <c r="C281" s="15"/>
      <c r="K281" s="15" t="s">
        <v>198</v>
      </c>
    </row>
    <row r="282">
      <c r="B282" s="15"/>
      <c r="C282" s="15"/>
      <c r="K282" s="15" t="s">
        <v>198</v>
      </c>
    </row>
    <row r="283">
      <c r="B283" s="15"/>
      <c r="C283" s="15"/>
      <c r="K283" s="15" t="s">
        <v>198</v>
      </c>
    </row>
    <row r="284">
      <c r="B284" s="15"/>
      <c r="C284" s="15"/>
      <c r="K284" s="15" t="s">
        <v>198</v>
      </c>
    </row>
    <row r="285">
      <c r="B285" s="15"/>
      <c r="C285" s="15"/>
      <c r="K285" s="15" t="s">
        <v>198</v>
      </c>
    </row>
    <row r="286">
      <c r="B286" s="15"/>
      <c r="C286" s="15"/>
      <c r="K286" s="15" t="s">
        <v>198</v>
      </c>
    </row>
    <row r="287">
      <c r="B287" s="15"/>
      <c r="C287" s="15"/>
      <c r="K287" s="15" t="s">
        <v>198</v>
      </c>
    </row>
    <row r="288">
      <c r="B288" s="15"/>
      <c r="C288" s="15"/>
      <c r="K288" s="15" t="s">
        <v>198</v>
      </c>
    </row>
    <row r="289">
      <c r="B289" s="15"/>
      <c r="C289" s="15"/>
      <c r="K289" s="15" t="s">
        <v>198</v>
      </c>
    </row>
    <row r="290">
      <c r="B290" s="15"/>
      <c r="C290" s="15"/>
      <c r="K290" s="15" t="s">
        <v>198</v>
      </c>
    </row>
    <row r="291">
      <c r="B291" s="15"/>
      <c r="C291" s="15"/>
      <c r="K291" s="15" t="s">
        <v>198</v>
      </c>
    </row>
    <row r="292">
      <c r="B292" s="15"/>
      <c r="C292" s="15"/>
      <c r="K292" s="15" t="s">
        <v>198</v>
      </c>
    </row>
    <row r="293">
      <c r="B293" s="15"/>
      <c r="C293" s="15"/>
      <c r="K293" s="15" t="s">
        <v>198</v>
      </c>
    </row>
    <row r="294">
      <c r="B294" s="15"/>
      <c r="C294" s="15"/>
      <c r="K294" s="15" t="s">
        <v>198</v>
      </c>
    </row>
    <row r="295">
      <c r="B295" s="15"/>
      <c r="C295" s="15"/>
      <c r="K295" s="15" t="s">
        <v>198</v>
      </c>
    </row>
    <row r="296">
      <c r="B296" s="15"/>
      <c r="C296" s="15"/>
      <c r="K296" s="15" t="s">
        <v>198</v>
      </c>
    </row>
    <row r="297">
      <c r="B297" s="15"/>
      <c r="C297" s="15"/>
      <c r="K297" s="15" t="s">
        <v>198</v>
      </c>
    </row>
    <row r="298">
      <c r="B298" s="15"/>
      <c r="C298" s="15"/>
      <c r="K298" s="15" t="s">
        <v>198</v>
      </c>
    </row>
    <row r="299">
      <c r="B299" s="15"/>
      <c r="C299" s="15"/>
      <c r="K299" s="15" t="s">
        <v>198</v>
      </c>
    </row>
    <row r="300">
      <c r="B300" s="15"/>
      <c r="C300" s="15"/>
      <c r="K300" s="15" t="s">
        <v>198</v>
      </c>
    </row>
    <row r="301">
      <c r="B301" s="15"/>
      <c r="C301" s="15"/>
      <c r="K301" s="15" t="s">
        <v>198</v>
      </c>
    </row>
    <row r="302">
      <c r="B302" s="15"/>
      <c r="C302" s="15"/>
      <c r="K302" s="15" t="s">
        <v>198</v>
      </c>
    </row>
    <row r="303">
      <c r="B303" s="15"/>
      <c r="C303" s="15"/>
      <c r="K303" s="15" t="s">
        <v>198</v>
      </c>
    </row>
    <row r="304">
      <c r="B304" s="15"/>
      <c r="C304" s="15"/>
      <c r="K304" s="15" t="s">
        <v>198</v>
      </c>
    </row>
    <row r="305">
      <c r="B305" s="15"/>
      <c r="C305" s="15"/>
      <c r="K305" s="15" t="s">
        <v>198</v>
      </c>
    </row>
    <row r="306">
      <c r="B306" s="15"/>
      <c r="C306" s="15"/>
      <c r="K306" s="15" t="s">
        <v>198</v>
      </c>
    </row>
    <row r="307">
      <c r="B307" s="15"/>
      <c r="C307" s="15"/>
      <c r="K307" s="15" t="s">
        <v>198</v>
      </c>
    </row>
    <row r="308">
      <c r="B308" s="15"/>
      <c r="C308" s="15"/>
      <c r="K308" s="15" t="s">
        <v>198</v>
      </c>
    </row>
    <row r="309">
      <c r="B309" s="15"/>
      <c r="C309" s="15"/>
      <c r="K309" s="15" t="s">
        <v>198</v>
      </c>
    </row>
    <row r="310">
      <c r="B310" s="15"/>
      <c r="C310" s="15"/>
      <c r="K310" s="15" t="s">
        <v>198</v>
      </c>
    </row>
    <row r="311">
      <c r="B311" s="15"/>
      <c r="C311" s="15"/>
      <c r="K311" s="15" t="s">
        <v>198</v>
      </c>
    </row>
    <row r="312">
      <c r="B312" s="15"/>
      <c r="C312" s="15"/>
      <c r="K312" s="15" t="s">
        <v>198</v>
      </c>
    </row>
    <row r="313">
      <c r="B313" s="15"/>
      <c r="C313" s="15"/>
      <c r="K313" s="15" t="s">
        <v>198</v>
      </c>
    </row>
    <row r="314">
      <c r="B314" s="15"/>
      <c r="C314" s="15"/>
      <c r="K314" s="15" t="s">
        <v>198</v>
      </c>
    </row>
    <row r="315">
      <c r="B315" s="15"/>
      <c r="C315" s="15"/>
      <c r="K315" s="15" t="s">
        <v>198</v>
      </c>
    </row>
    <row r="316">
      <c r="B316" s="15"/>
      <c r="C316" s="15"/>
      <c r="K316" s="15" t="s">
        <v>198</v>
      </c>
    </row>
    <row r="317">
      <c r="B317" s="15"/>
      <c r="C317" s="15"/>
      <c r="K317" s="15" t="s">
        <v>198</v>
      </c>
    </row>
    <row r="318">
      <c r="B318" s="15"/>
      <c r="C318" s="15"/>
      <c r="K318" s="15" t="s">
        <v>198</v>
      </c>
    </row>
    <row r="319">
      <c r="B319" s="15"/>
      <c r="C319" s="15"/>
      <c r="K319" s="15" t="s">
        <v>198</v>
      </c>
    </row>
    <row r="320">
      <c r="B320" s="15"/>
      <c r="C320" s="15"/>
      <c r="K320" s="15" t="s">
        <v>198</v>
      </c>
    </row>
    <row r="321">
      <c r="B321" s="15"/>
      <c r="C321" s="15"/>
      <c r="K321" s="15" t="s">
        <v>198</v>
      </c>
    </row>
    <row r="322">
      <c r="B322" s="15"/>
      <c r="C322" s="15"/>
      <c r="K322" s="15" t="s">
        <v>198</v>
      </c>
    </row>
    <row r="323">
      <c r="B323" s="15"/>
      <c r="C323" s="15"/>
      <c r="K323" s="15" t="s">
        <v>198</v>
      </c>
    </row>
    <row r="324">
      <c r="B324" s="15"/>
      <c r="C324" s="15"/>
      <c r="K324" s="15" t="s">
        <v>198</v>
      </c>
    </row>
    <row r="325">
      <c r="B325" s="15"/>
      <c r="C325" s="15"/>
      <c r="K325" s="15" t="s">
        <v>198</v>
      </c>
    </row>
    <row r="326">
      <c r="B326" s="15"/>
      <c r="C326" s="15"/>
      <c r="K326" s="15" t="s">
        <v>198</v>
      </c>
    </row>
    <row r="327">
      <c r="B327" s="15"/>
      <c r="C327" s="15"/>
      <c r="K327" s="15" t="s">
        <v>198</v>
      </c>
    </row>
    <row r="328">
      <c r="B328" s="15"/>
      <c r="C328" s="15"/>
      <c r="K328" s="15" t="s">
        <v>198</v>
      </c>
    </row>
    <row r="329">
      <c r="B329" s="15"/>
      <c r="C329" s="15"/>
      <c r="K329" s="15" t="s">
        <v>198</v>
      </c>
    </row>
    <row r="330">
      <c r="B330" s="15"/>
      <c r="C330" s="15"/>
      <c r="K330" s="15" t="s">
        <v>198</v>
      </c>
    </row>
    <row r="331">
      <c r="B331" s="15"/>
      <c r="C331" s="15"/>
      <c r="K331" s="15" t="s">
        <v>198</v>
      </c>
    </row>
    <row r="332">
      <c r="B332" s="15"/>
      <c r="C332" s="15"/>
      <c r="K332" s="15" t="s">
        <v>198</v>
      </c>
    </row>
    <row r="333">
      <c r="B333" s="15"/>
      <c r="C333" s="15"/>
      <c r="K333" s="15" t="s">
        <v>198</v>
      </c>
    </row>
    <row r="334">
      <c r="B334" s="15"/>
      <c r="C334" s="15"/>
      <c r="K334" s="15" t="s">
        <v>198</v>
      </c>
    </row>
    <row r="335">
      <c r="B335" s="15"/>
      <c r="C335" s="15"/>
      <c r="K335" s="15" t="s">
        <v>198</v>
      </c>
    </row>
    <row r="336">
      <c r="B336" s="15"/>
      <c r="C336" s="15"/>
      <c r="K336" s="15" t="s">
        <v>198</v>
      </c>
    </row>
    <row r="337">
      <c r="B337" s="15"/>
      <c r="C337" s="15"/>
      <c r="K337" s="15" t="s">
        <v>198</v>
      </c>
    </row>
    <row r="338">
      <c r="B338" s="15"/>
      <c r="C338" s="15"/>
      <c r="K338" s="15" t="s">
        <v>198</v>
      </c>
    </row>
    <row r="339">
      <c r="B339" s="15"/>
      <c r="C339" s="15"/>
      <c r="K339" s="15" t="s">
        <v>198</v>
      </c>
    </row>
    <row r="340">
      <c r="B340" s="15"/>
      <c r="C340" s="15"/>
      <c r="K340" s="15" t="s">
        <v>198</v>
      </c>
    </row>
    <row r="341">
      <c r="B341" s="15"/>
      <c r="C341" s="15"/>
      <c r="K341" s="15" t="s">
        <v>198</v>
      </c>
    </row>
    <row r="342">
      <c r="B342" s="15"/>
      <c r="C342" s="15"/>
      <c r="K342" s="15" t="s">
        <v>198</v>
      </c>
    </row>
    <row r="343">
      <c r="B343" s="15"/>
      <c r="C343" s="15"/>
      <c r="K343" s="15" t="s">
        <v>198</v>
      </c>
    </row>
    <row r="344">
      <c r="B344" s="15"/>
      <c r="C344" s="15"/>
      <c r="K344" s="15" t="s">
        <v>198</v>
      </c>
    </row>
    <row r="345">
      <c r="B345" s="15"/>
      <c r="C345" s="15"/>
      <c r="K345" s="15" t="s">
        <v>198</v>
      </c>
    </row>
    <row r="346">
      <c r="B346" s="15"/>
      <c r="C346" s="15"/>
      <c r="K346" s="15" t="s">
        <v>198</v>
      </c>
    </row>
    <row r="347">
      <c r="B347" s="15"/>
      <c r="C347" s="15"/>
      <c r="K347" s="15" t="s">
        <v>198</v>
      </c>
    </row>
    <row r="348">
      <c r="B348" s="15"/>
      <c r="C348" s="15"/>
      <c r="K348" s="15" t="s">
        <v>198</v>
      </c>
    </row>
    <row r="349">
      <c r="B349" s="15"/>
      <c r="C349" s="15"/>
      <c r="K349" s="15" t="s">
        <v>198</v>
      </c>
    </row>
    <row r="350">
      <c r="B350" s="15"/>
      <c r="C350" s="15"/>
      <c r="K350" s="15" t="s">
        <v>198</v>
      </c>
    </row>
    <row r="351">
      <c r="B351" s="15"/>
      <c r="C351" s="15"/>
      <c r="K351" s="15" t="s">
        <v>198</v>
      </c>
    </row>
    <row r="352">
      <c r="B352" s="15"/>
      <c r="C352" s="15"/>
      <c r="K352" s="15" t="s">
        <v>198</v>
      </c>
    </row>
    <row r="353">
      <c r="B353" s="15"/>
      <c r="C353" s="15"/>
      <c r="K353" s="15" t="s">
        <v>198</v>
      </c>
    </row>
    <row r="354">
      <c r="B354" s="15"/>
      <c r="C354" s="15"/>
      <c r="K354" s="15" t="s">
        <v>198</v>
      </c>
    </row>
    <row r="355">
      <c r="B355" s="15"/>
      <c r="C355" s="15"/>
      <c r="K355" s="15" t="s">
        <v>198</v>
      </c>
    </row>
    <row r="356">
      <c r="B356" s="15"/>
      <c r="C356" s="15"/>
      <c r="K356" s="15" t="s">
        <v>198</v>
      </c>
    </row>
    <row r="357">
      <c r="B357" s="15"/>
      <c r="C357" s="15"/>
      <c r="K357" s="15" t="s">
        <v>198</v>
      </c>
    </row>
    <row r="358">
      <c r="B358" s="15"/>
      <c r="C358" s="15"/>
      <c r="K358" s="15" t="s">
        <v>198</v>
      </c>
    </row>
    <row r="359">
      <c r="B359" s="15"/>
      <c r="C359" s="15"/>
      <c r="K359" s="15" t="s">
        <v>198</v>
      </c>
    </row>
    <row r="360">
      <c r="B360" s="15"/>
      <c r="C360" s="15"/>
      <c r="K360" s="15" t="s">
        <v>198</v>
      </c>
    </row>
    <row r="361">
      <c r="B361" s="15"/>
      <c r="C361" s="15"/>
      <c r="K361" s="15" t="s">
        <v>198</v>
      </c>
    </row>
    <row r="362">
      <c r="B362" s="15"/>
      <c r="C362" s="15"/>
      <c r="K362" s="15" t="s">
        <v>198</v>
      </c>
    </row>
    <row r="363">
      <c r="B363" s="15"/>
      <c r="C363" s="15"/>
      <c r="K363" s="15" t="s">
        <v>198</v>
      </c>
    </row>
    <row r="364">
      <c r="B364" s="15"/>
      <c r="C364" s="15"/>
      <c r="K364" s="15" t="s">
        <v>198</v>
      </c>
    </row>
    <row r="365">
      <c r="B365" s="15"/>
      <c r="C365" s="15"/>
      <c r="K365" s="15" t="s">
        <v>198</v>
      </c>
    </row>
    <row r="366">
      <c r="B366" s="15"/>
      <c r="C366" s="15"/>
      <c r="K366" s="15" t="s">
        <v>198</v>
      </c>
    </row>
    <row r="367">
      <c r="B367" s="15"/>
      <c r="C367" s="15"/>
      <c r="K367" s="15" t="s">
        <v>198</v>
      </c>
    </row>
    <row r="368">
      <c r="B368" s="15"/>
      <c r="C368" s="15"/>
      <c r="K368" s="15" t="s">
        <v>198</v>
      </c>
    </row>
    <row r="369">
      <c r="B369" s="15"/>
      <c r="C369" s="15"/>
      <c r="K369" s="15" t="s">
        <v>198</v>
      </c>
    </row>
    <row r="370">
      <c r="B370" s="15"/>
      <c r="C370" s="15"/>
      <c r="K370" s="15" t="s">
        <v>198</v>
      </c>
    </row>
    <row r="371">
      <c r="B371" s="15"/>
      <c r="C371" s="15"/>
      <c r="K371" s="15" t="s">
        <v>198</v>
      </c>
    </row>
    <row r="372">
      <c r="B372" s="15"/>
      <c r="C372" s="15"/>
      <c r="K372" s="15" t="s">
        <v>198</v>
      </c>
    </row>
    <row r="373">
      <c r="B373" s="15"/>
      <c r="C373" s="15"/>
      <c r="K373" s="15" t="s">
        <v>198</v>
      </c>
    </row>
    <row r="374">
      <c r="B374" s="15"/>
      <c r="C374" s="15"/>
      <c r="K374" s="15" t="s">
        <v>198</v>
      </c>
    </row>
    <row r="375">
      <c r="B375" s="15"/>
      <c r="C375" s="15"/>
      <c r="K375" s="15" t="s">
        <v>198</v>
      </c>
    </row>
    <row r="376">
      <c r="B376" s="15"/>
      <c r="C376" s="15"/>
      <c r="K376" s="15" t="s">
        <v>198</v>
      </c>
    </row>
    <row r="377">
      <c r="B377" s="15"/>
      <c r="C377" s="15"/>
      <c r="K377" s="15" t="s">
        <v>198</v>
      </c>
    </row>
    <row r="378">
      <c r="B378" s="15"/>
      <c r="C378" s="15"/>
      <c r="K378" s="15" t="s">
        <v>198</v>
      </c>
    </row>
    <row r="379">
      <c r="B379" s="15"/>
      <c r="C379" s="15"/>
      <c r="K379" s="15" t="s">
        <v>198</v>
      </c>
    </row>
    <row r="380">
      <c r="B380" s="15"/>
      <c r="C380" s="15"/>
      <c r="K380" s="15" t="s">
        <v>198</v>
      </c>
    </row>
    <row r="381">
      <c r="B381" s="15"/>
      <c r="C381" s="15"/>
      <c r="K381" s="15" t="s">
        <v>198</v>
      </c>
    </row>
    <row r="382">
      <c r="B382" s="15"/>
      <c r="C382" s="15"/>
      <c r="K382" s="15" t="s">
        <v>198</v>
      </c>
    </row>
    <row r="383">
      <c r="B383" s="15"/>
      <c r="C383" s="15"/>
      <c r="K383" s="15" t="s">
        <v>198</v>
      </c>
    </row>
    <row r="384">
      <c r="B384" s="15"/>
      <c r="C384" s="15"/>
      <c r="K384" s="15" t="s">
        <v>198</v>
      </c>
    </row>
    <row r="385">
      <c r="B385" s="15"/>
      <c r="C385" s="15"/>
      <c r="K385" s="15" t="s">
        <v>198</v>
      </c>
    </row>
    <row r="386">
      <c r="B386" s="15"/>
      <c r="C386" s="15"/>
      <c r="K386" s="15" t="s">
        <v>198</v>
      </c>
    </row>
    <row r="387">
      <c r="B387" s="15"/>
      <c r="C387" s="15"/>
      <c r="K387" s="15" t="s">
        <v>198</v>
      </c>
    </row>
    <row r="388">
      <c r="B388" s="15"/>
      <c r="C388" s="15"/>
      <c r="K388" s="15" t="s">
        <v>198</v>
      </c>
    </row>
    <row r="389">
      <c r="B389" s="15"/>
      <c r="C389" s="15"/>
      <c r="K389" s="15" t="s">
        <v>198</v>
      </c>
    </row>
    <row r="390">
      <c r="B390" s="15"/>
      <c r="C390" s="15"/>
      <c r="K390" s="15" t="s">
        <v>198</v>
      </c>
    </row>
    <row r="391">
      <c r="B391" s="15"/>
      <c r="C391" s="15"/>
      <c r="K391" s="15" t="s">
        <v>198</v>
      </c>
    </row>
    <row r="392">
      <c r="B392" s="15"/>
      <c r="C392" s="15"/>
      <c r="K392" s="15" t="s">
        <v>198</v>
      </c>
    </row>
    <row r="393">
      <c r="B393" s="15"/>
      <c r="C393" s="15"/>
      <c r="K393" s="15" t="s">
        <v>198</v>
      </c>
    </row>
    <row r="394">
      <c r="B394" s="15"/>
      <c r="C394" s="15"/>
      <c r="K394" s="15" t="s">
        <v>198</v>
      </c>
    </row>
    <row r="395">
      <c r="B395" s="15"/>
      <c r="C395" s="15"/>
      <c r="K395" s="15" t="s">
        <v>198</v>
      </c>
    </row>
    <row r="396">
      <c r="B396" s="15"/>
      <c r="C396" s="15"/>
      <c r="K396" s="15" t="s">
        <v>198</v>
      </c>
    </row>
    <row r="397">
      <c r="B397" s="15"/>
      <c r="C397" s="15"/>
      <c r="K397" s="15" t="s">
        <v>198</v>
      </c>
    </row>
    <row r="398">
      <c r="B398" s="15"/>
      <c r="C398" s="15"/>
      <c r="K398" s="15" t="s">
        <v>198</v>
      </c>
    </row>
    <row r="399">
      <c r="B399" s="15"/>
      <c r="C399" s="15"/>
      <c r="K399" s="15" t="s">
        <v>198</v>
      </c>
    </row>
    <row r="400">
      <c r="B400" s="15"/>
      <c r="C400" s="15"/>
      <c r="K400" s="15" t="s">
        <v>198</v>
      </c>
    </row>
    <row r="401">
      <c r="B401" s="15"/>
      <c r="C401" s="15"/>
      <c r="K401" s="15" t="s">
        <v>198</v>
      </c>
    </row>
    <row r="402">
      <c r="B402" s="15"/>
      <c r="C402" s="15"/>
      <c r="K402" s="15" t="s">
        <v>198</v>
      </c>
    </row>
    <row r="403">
      <c r="B403" s="15"/>
      <c r="C403" s="15"/>
      <c r="K403" s="15" t="s">
        <v>198</v>
      </c>
    </row>
    <row r="404">
      <c r="B404" s="15"/>
      <c r="C404" s="15"/>
      <c r="K404" s="15" t="s">
        <v>198</v>
      </c>
    </row>
    <row r="405">
      <c r="B405" s="15"/>
      <c r="C405" s="15"/>
      <c r="K405" s="15" t="s">
        <v>198</v>
      </c>
    </row>
    <row r="406">
      <c r="B406" s="15"/>
      <c r="C406" s="15"/>
      <c r="K406" s="15" t="s">
        <v>198</v>
      </c>
    </row>
    <row r="407">
      <c r="B407" s="15"/>
      <c r="C407" s="15"/>
      <c r="K407" s="15" t="s">
        <v>198</v>
      </c>
    </row>
    <row r="408">
      <c r="B408" s="15"/>
      <c r="C408" s="15"/>
      <c r="K408" s="15" t="s">
        <v>198</v>
      </c>
    </row>
    <row r="409">
      <c r="B409" s="15"/>
      <c r="C409" s="15"/>
      <c r="K409" s="15" t="s">
        <v>198</v>
      </c>
    </row>
    <row r="410">
      <c r="B410" s="15"/>
      <c r="C410" s="15"/>
      <c r="K410" s="15" t="s">
        <v>198</v>
      </c>
    </row>
    <row r="411">
      <c r="B411" s="15"/>
      <c r="C411" s="15"/>
      <c r="K411" s="15" t="s">
        <v>198</v>
      </c>
    </row>
    <row r="412">
      <c r="B412" s="15"/>
      <c r="C412" s="15"/>
      <c r="K412" s="15" t="s">
        <v>198</v>
      </c>
    </row>
    <row r="413">
      <c r="B413" s="15"/>
      <c r="C413" s="15"/>
      <c r="K413" s="15" t="s">
        <v>198</v>
      </c>
    </row>
    <row r="414">
      <c r="B414" s="15"/>
      <c r="C414" s="15"/>
      <c r="K414" s="15" t="s">
        <v>198</v>
      </c>
    </row>
    <row r="415">
      <c r="B415" s="15"/>
      <c r="C415" s="15"/>
      <c r="K415" s="15" t="s">
        <v>198</v>
      </c>
    </row>
    <row r="416">
      <c r="B416" s="15"/>
      <c r="C416" s="15"/>
      <c r="K416" s="15" t="s">
        <v>198</v>
      </c>
    </row>
    <row r="417">
      <c r="B417" s="15"/>
      <c r="C417" s="15"/>
      <c r="K417" s="15" t="s">
        <v>198</v>
      </c>
    </row>
    <row r="418">
      <c r="B418" s="15"/>
      <c r="C418" s="15"/>
      <c r="K418" s="15" t="s">
        <v>198</v>
      </c>
    </row>
    <row r="419">
      <c r="B419" s="15"/>
      <c r="C419" s="15"/>
      <c r="K419" s="15" t="s">
        <v>198</v>
      </c>
    </row>
    <row r="420">
      <c r="B420" s="15"/>
      <c r="C420" s="15"/>
      <c r="K420" s="15" t="s">
        <v>198</v>
      </c>
    </row>
    <row r="421">
      <c r="B421" s="15"/>
      <c r="C421" s="15"/>
      <c r="K421" s="15" t="s">
        <v>198</v>
      </c>
    </row>
    <row r="422">
      <c r="B422" s="15"/>
      <c r="C422" s="15"/>
      <c r="K422" s="15" t="s">
        <v>198</v>
      </c>
    </row>
    <row r="423">
      <c r="B423" s="15"/>
      <c r="C423" s="15"/>
      <c r="K423" s="15" t="s">
        <v>198</v>
      </c>
    </row>
    <row r="424">
      <c r="B424" s="15"/>
      <c r="C424" s="15"/>
      <c r="K424" s="15" t="s">
        <v>198</v>
      </c>
    </row>
    <row r="425">
      <c r="B425" s="15"/>
      <c r="C425" s="15"/>
      <c r="K425" s="15" t="s">
        <v>198</v>
      </c>
    </row>
    <row r="426">
      <c r="B426" s="15"/>
      <c r="C426" s="15"/>
      <c r="K426" s="15" t="s">
        <v>198</v>
      </c>
    </row>
    <row r="427">
      <c r="B427" s="15"/>
      <c r="C427" s="15"/>
      <c r="K427" s="15" t="s">
        <v>198</v>
      </c>
    </row>
    <row r="428">
      <c r="B428" s="15"/>
      <c r="C428" s="15"/>
      <c r="K428" s="15" t="s">
        <v>198</v>
      </c>
    </row>
    <row r="429">
      <c r="B429" s="15"/>
      <c r="C429" s="15"/>
      <c r="K429" s="15" t="s">
        <v>198</v>
      </c>
    </row>
    <row r="430">
      <c r="B430" s="15"/>
      <c r="C430" s="15"/>
      <c r="K430" s="15" t="s">
        <v>198</v>
      </c>
    </row>
    <row r="431">
      <c r="B431" s="15"/>
      <c r="C431" s="15"/>
      <c r="K431" s="15" t="s">
        <v>198</v>
      </c>
    </row>
    <row r="432">
      <c r="B432" s="15"/>
      <c r="C432" s="15"/>
      <c r="K432" s="15" t="s">
        <v>198</v>
      </c>
    </row>
    <row r="433">
      <c r="B433" s="15"/>
      <c r="C433" s="15"/>
      <c r="K433" s="15" t="s">
        <v>198</v>
      </c>
    </row>
    <row r="434">
      <c r="B434" s="15"/>
      <c r="C434" s="15"/>
      <c r="K434" s="15" t="s">
        <v>198</v>
      </c>
    </row>
    <row r="435">
      <c r="B435" s="15"/>
      <c r="C435" s="15"/>
      <c r="K435" s="15" t="s">
        <v>198</v>
      </c>
    </row>
    <row r="436">
      <c r="B436" s="15"/>
      <c r="C436" s="15"/>
      <c r="K436" s="15" t="s">
        <v>198</v>
      </c>
    </row>
    <row r="437">
      <c r="B437" s="15"/>
      <c r="C437" s="15"/>
      <c r="K437" s="15" t="s">
        <v>198</v>
      </c>
    </row>
    <row r="438">
      <c r="B438" s="15"/>
      <c r="C438" s="15"/>
      <c r="K438" s="15" t="s">
        <v>198</v>
      </c>
    </row>
    <row r="439">
      <c r="B439" s="15"/>
      <c r="C439" s="15"/>
      <c r="K439" s="15" t="s">
        <v>198</v>
      </c>
    </row>
    <row r="440">
      <c r="B440" s="15"/>
      <c r="C440" s="15"/>
      <c r="K440" s="15" t="s">
        <v>198</v>
      </c>
    </row>
    <row r="441">
      <c r="B441" s="15"/>
      <c r="C441" s="15"/>
      <c r="K441" s="15" t="s">
        <v>198</v>
      </c>
    </row>
    <row r="442">
      <c r="B442" s="15"/>
      <c r="C442" s="15"/>
      <c r="K442" s="15" t="s">
        <v>198</v>
      </c>
    </row>
    <row r="443">
      <c r="B443" s="15"/>
      <c r="C443" s="15"/>
      <c r="K443" s="15" t="s">
        <v>198</v>
      </c>
    </row>
    <row r="444">
      <c r="B444" s="15"/>
      <c r="C444" s="15"/>
      <c r="K444" s="15" t="s">
        <v>198</v>
      </c>
    </row>
    <row r="445">
      <c r="B445" s="15"/>
      <c r="C445" s="15"/>
      <c r="K445" s="15" t="s">
        <v>198</v>
      </c>
    </row>
    <row r="446">
      <c r="B446" s="15"/>
      <c r="C446" s="15"/>
      <c r="K446" s="15" t="s">
        <v>198</v>
      </c>
    </row>
    <row r="447">
      <c r="B447" s="15"/>
      <c r="C447" s="15"/>
      <c r="K447" s="15" t="s">
        <v>198</v>
      </c>
    </row>
    <row r="448">
      <c r="B448" s="15"/>
      <c r="C448" s="15"/>
      <c r="K448" s="15" t="s">
        <v>198</v>
      </c>
    </row>
    <row r="449">
      <c r="B449" s="15"/>
      <c r="C449" s="15"/>
      <c r="K449" s="15" t="s">
        <v>198</v>
      </c>
    </row>
    <row r="450">
      <c r="B450" s="15"/>
      <c r="C450" s="15"/>
      <c r="K450" s="15" t="s">
        <v>198</v>
      </c>
    </row>
    <row r="451">
      <c r="B451" s="15"/>
      <c r="C451" s="15"/>
      <c r="K451" s="15" t="s">
        <v>198</v>
      </c>
    </row>
    <row r="452">
      <c r="B452" s="15"/>
      <c r="C452" s="15"/>
      <c r="K452" s="15" t="s">
        <v>198</v>
      </c>
    </row>
    <row r="453">
      <c r="B453" s="15"/>
      <c r="C453" s="15"/>
      <c r="K453" s="15" t="s">
        <v>198</v>
      </c>
    </row>
    <row r="454">
      <c r="B454" s="15"/>
      <c r="C454" s="15"/>
      <c r="K454" s="15" t="s">
        <v>198</v>
      </c>
    </row>
    <row r="455">
      <c r="B455" s="15"/>
      <c r="C455" s="15"/>
      <c r="K455" s="15" t="s">
        <v>198</v>
      </c>
    </row>
    <row r="456">
      <c r="B456" s="15"/>
      <c r="C456" s="15"/>
      <c r="K456" s="15" t="s">
        <v>198</v>
      </c>
    </row>
    <row r="457">
      <c r="B457" s="15"/>
      <c r="C457" s="15"/>
      <c r="K457" s="15" t="s">
        <v>198</v>
      </c>
    </row>
    <row r="458">
      <c r="B458" s="15"/>
      <c r="C458" s="15"/>
      <c r="K458" s="15" t="s">
        <v>198</v>
      </c>
    </row>
    <row r="459">
      <c r="B459" s="15"/>
      <c r="C459" s="15"/>
      <c r="K459" s="15" t="s">
        <v>198</v>
      </c>
    </row>
    <row r="460">
      <c r="B460" s="15"/>
      <c r="C460" s="15"/>
      <c r="K460" s="15" t="s">
        <v>198</v>
      </c>
    </row>
    <row r="461">
      <c r="B461" s="15"/>
      <c r="C461" s="15"/>
      <c r="K461" s="15" t="s">
        <v>198</v>
      </c>
    </row>
    <row r="462">
      <c r="B462" s="15"/>
      <c r="C462" s="15"/>
      <c r="K462" s="15" t="s">
        <v>198</v>
      </c>
    </row>
    <row r="463">
      <c r="B463" s="15"/>
      <c r="C463" s="15"/>
      <c r="K463" s="15" t="s">
        <v>198</v>
      </c>
    </row>
    <row r="464">
      <c r="B464" s="15"/>
      <c r="C464" s="15"/>
      <c r="K464" s="15" t="s">
        <v>198</v>
      </c>
    </row>
    <row r="465">
      <c r="B465" s="15"/>
      <c r="C465" s="15"/>
      <c r="K465" s="15" t="s">
        <v>198</v>
      </c>
    </row>
    <row r="466">
      <c r="B466" s="15"/>
      <c r="C466" s="15"/>
      <c r="K466" s="15" t="s">
        <v>198</v>
      </c>
    </row>
    <row r="467">
      <c r="B467" s="15"/>
      <c r="C467" s="15"/>
      <c r="K467" s="15" t="s">
        <v>198</v>
      </c>
    </row>
    <row r="468">
      <c r="B468" s="15"/>
      <c r="C468" s="15"/>
      <c r="K468" s="15" t="s">
        <v>198</v>
      </c>
    </row>
    <row r="469">
      <c r="B469" s="15"/>
      <c r="C469" s="15"/>
      <c r="K469" s="15" t="s">
        <v>198</v>
      </c>
    </row>
    <row r="470">
      <c r="B470" s="15"/>
      <c r="C470" s="15"/>
      <c r="K470" s="15" t="s">
        <v>198</v>
      </c>
    </row>
    <row r="471">
      <c r="B471" s="15"/>
      <c r="C471" s="15"/>
      <c r="K471" s="15" t="s">
        <v>198</v>
      </c>
    </row>
    <row r="472">
      <c r="B472" s="15"/>
      <c r="C472" s="15"/>
      <c r="K472" s="15" t="s">
        <v>198</v>
      </c>
    </row>
    <row r="473">
      <c r="B473" s="15"/>
      <c r="C473" s="15"/>
      <c r="K473" s="15" t="s">
        <v>198</v>
      </c>
    </row>
    <row r="474">
      <c r="B474" s="15"/>
      <c r="C474" s="15"/>
      <c r="K474" s="15" t="s">
        <v>198</v>
      </c>
    </row>
    <row r="475">
      <c r="B475" s="15"/>
      <c r="C475" s="15"/>
      <c r="K475" s="15" t="s">
        <v>198</v>
      </c>
    </row>
    <row r="476">
      <c r="B476" s="15"/>
      <c r="C476" s="15"/>
      <c r="K476" s="15" t="s">
        <v>198</v>
      </c>
    </row>
    <row r="477">
      <c r="B477" s="15"/>
      <c r="C477" s="15"/>
      <c r="K477" s="15" t="s">
        <v>198</v>
      </c>
    </row>
    <row r="478">
      <c r="B478" s="15"/>
      <c r="C478" s="15"/>
      <c r="K478" s="15" t="s">
        <v>198</v>
      </c>
    </row>
    <row r="479">
      <c r="B479" s="15"/>
      <c r="C479" s="15"/>
      <c r="K479" s="15" t="s">
        <v>198</v>
      </c>
    </row>
    <row r="480">
      <c r="B480" s="15"/>
      <c r="C480" s="15"/>
      <c r="K480" s="15" t="s">
        <v>198</v>
      </c>
    </row>
    <row r="481">
      <c r="B481" s="15"/>
      <c r="C481" s="15"/>
      <c r="K481" s="15" t="s">
        <v>198</v>
      </c>
    </row>
    <row r="482">
      <c r="B482" s="15"/>
      <c r="C482" s="15"/>
      <c r="K482" s="15" t="s">
        <v>198</v>
      </c>
    </row>
    <row r="483">
      <c r="B483" s="15"/>
      <c r="C483" s="15"/>
      <c r="K483" s="15" t="s">
        <v>198</v>
      </c>
    </row>
    <row r="484">
      <c r="B484" s="15"/>
      <c r="C484" s="15"/>
      <c r="K484" s="15" t="s">
        <v>198</v>
      </c>
    </row>
    <row r="485">
      <c r="B485" s="15"/>
      <c r="C485" s="15"/>
      <c r="K485" s="15" t="s">
        <v>198</v>
      </c>
    </row>
    <row r="486">
      <c r="B486" s="15"/>
      <c r="C486" s="15"/>
      <c r="K486" s="15" t="s">
        <v>198</v>
      </c>
    </row>
    <row r="487">
      <c r="B487" s="15"/>
      <c r="C487" s="15"/>
      <c r="K487" s="15" t="s">
        <v>198</v>
      </c>
    </row>
    <row r="488">
      <c r="B488" s="15"/>
      <c r="C488" s="15"/>
      <c r="K488" s="15" t="s">
        <v>198</v>
      </c>
    </row>
    <row r="489">
      <c r="B489" s="15"/>
      <c r="C489" s="15"/>
      <c r="K489" s="15" t="s">
        <v>198</v>
      </c>
    </row>
    <row r="490">
      <c r="B490" s="15"/>
      <c r="C490" s="15"/>
      <c r="K490" s="15" t="s">
        <v>198</v>
      </c>
    </row>
    <row r="491">
      <c r="B491" s="15"/>
      <c r="C491" s="15"/>
      <c r="K491" s="15" t="s">
        <v>198</v>
      </c>
    </row>
    <row r="492">
      <c r="B492" s="15"/>
      <c r="C492" s="15"/>
      <c r="K492" s="15" t="s">
        <v>198</v>
      </c>
    </row>
    <row r="493">
      <c r="B493" s="15"/>
      <c r="C493" s="15"/>
      <c r="K493" s="15" t="s">
        <v>198</v>
      </c>
    </row>
    <row r="494">
      <c r="B494" s="15"/>
      <c r="C494" s="15"/>
      <c r="K494" s="15" t="s">
        <v>198</v>
      </c>
    </row>
    <row r="495">
      <c r="B495" s="15"/>
      <c r="C495" s="15"/>
      <c r="K495" s="15" t="s">
        <v>198</v>
      </c>
    </row>
    <row r="496">
      <c r="B496" s="15"/>
      <c r="C496" s="15"/>
      <c r="K496" s="15" t="s">
        <v>198</v>
      </c>
    </row>
    <row r="497">
      <c r="B497" s="15"/>
      <c r="C497" s="15"/>
      <c r="K497" s="15" t="s">
        <v>198</v>
      </c>
    </row>
    <row r="498">
      <c r="B498" s="15"/>
      <c r="C498" s="15"/>
      <c r="K498" s="15" t="s">
        <v>198</v>
      </c>
    </row>
    <row r="499">
      <c r="B499" s="15"/>
      <c r="C499" s="15"/>
      <c r="K499" s="15" t="s">
        <v>198</v>
      </c>
    </row>
    <row r="500">
      <c r="B500" s="15"/>
      <c r="C500" s="15"/>
      <c r="K500" s="15" t="s">
        <v>198</v>
      </c>
    </row>
    <row r="501">
      <c r="B501" s="15"/>
      <c r="C501" s="15"/>
      <c r="K501" s="15" t="s">
        <v>198</v>
      </c>
    </row>
    <row r="502">
      <c r="B502" s="15"/>
      <c r="C502" s="15"/>
      <c r="K502" s="15" t="s">
        <v>198</v>
      </c>
    </row>
    <row r="503">
      <c r="B503" s="15"/>
      <c r="C503" s="15"/>
      <c r="K503" s="15" t="s">
        <v>198</v>
      </c>
    </row>
    <row r="504">
      <c r="B504" s="15"/>
      <c r="C504" s="15"/>
      <c r="K504" s="15" t="s">
        <v>198</v>
      </c>
    </row>
    <row r="505">
      <c r="B505" s="15"/>
      <c r="C505" s="15"/>
      <c r="K505" s="15" t="s">
        <v>198</v>
      </c>
    </row>
    <row r="506">
      <c r="B506" s="15"/>
      <c r="C506" s="15"/>
      <c r="K506" s="15" t="s">
        <v>198</v>
      </c>
    </row>
    <row r="507">
      <c r="B507" s="15"/>
      <c r="C507" s="15"/>
      <c r="K507" s="15" t="s">
        <v>198</v>
      </c>
    </row>
    <row r="508">
      <c r="B508" s="15"/>
      <c r="C508" s="15"/>
      <c r="K508" s="15" t="s">
        <v>198</v>
      </c>
    </row>
    <row r="509">
      <c r="B509" s="15"/>
      <c r="C509" s="15"/>
      <c r="K509" s="15" t="s">
        <v>198</v>
      </c>
    </row>
    <row r="510">
      <c r="B510" s="15"/>
      <c r="C510" s="15"/>
      <c r="K510" s="15" t="s">
        <v>198</v>
      </c>
    </row>
    <row r="511">
      <c r="B511" s="15"/>
      <c r="C511" s="15"/>
      <c r="K511" s="15" t="s">
        <v>198</v>
      </c>
    </row>
    <row r="512">
      <c r="B512" s="15"/>
      <c r="C512" s="15"/>
      <c r="K512" s="15" t="s">
        <v>198</v>
      </c>
    </row>
    <row r="513">
      <c r="B513" s="15"/>
      <c r="C513" s="15"/>
      <c r="K513" s="15" t="s">
        <v>198</v>
      </c>
    </row>
    <row r="514">
      <c r="B514" s="15"/>
      <c r="C514" s="15"/>
      <c r="K514" s="15" t="s">
        <v>198</v>
      </c>
    </row>
    <row r="515">
      <c r="B515" s="15"/>
      <c r="C515" s="15"/>
      <c r="K515" s="15" t="s">
        <v>198</v>
      </c>
    </row>
    <row r="516">
      <c r="B516" s="15"/>
      <c r="C516" s="15"/>
      <c r="K516" s="15" t="s">
        <v>198</v>
      </c>
    </row>
    <row r="517">
      <c r="B517" s="15"/>
      <c r="C517" s="15"/>
      <c r="K517" s="15" t="s">
        <v>198</v>
      </c>
    </row>
    <row r="518">
      <c r="B518" s="15"/>
      <c r="C518" s="15"/>
      <c r="K518" s="15" t="s">
        <v>198</v>
      </c>
    </row>
    <row r="519">
      <c r="B519" s="15"/>
      <c r="C519" s="15"/>
      <c r="K519" s="15" t="s">
        <v>198</v>
      </c>
    </row>
    <row r="520">
      <c r="B520" s="15"/>
      <c r="C520" s="15"/>
      <c r="K520" s="15" t="s">
        <v>198</v>
      </c>
    </row>
    <row r="521">
      <c r="B521" s="15"/>
      <c r="C521" s="15"/>
      <c r="K521" s="15" t="s">
        <v>198</v>
      </c>
    </row>
    <row r="522">
      <c r="B522" s="15"/>
      <c r="C522" s="15"/>
      <c r="K522" s="15" t="s">
        <v>198</v>
      </c>
    </row>
    <row r="523">
      <c r="B523" s="15"/>
      <c r="C523" s="15"/>
      <c r="K523" s="15" t="s">
        <v>198</v>
      </c>
    </row>
    <row r="524">
      <c r="B524" s="15"/>
      <c r="C524" s="15"/>
      <c r="K524" s="15" t="s">
        <v>198</v>
      </c>
    </row>
    <row r="525">
      <c r="B525" s="15"/>
      <c r="C525" s="15"/>
      <c r="K525" s="15" t="s">
        <v>198</v>
      </c>
    </row>
    <row r="526">
      <c r="B526" s="15"/>
      <c r="C526" s="15"/>
      <c r="K526" s="15" t="s">
        <v>198</v>
      </c>
    </row>
    <row r="527">
      <c r="B527" s="15"/>
      <c r="C527" s="15"/>
      <c r="K527" s="15" t="s">
        <v>198</v>
      </c>
    </row>
    <row r="528">
      <c r="B528" s="15"/>
      <c r="C528" s="15"/>
      <c r="K528" s="15" t="s">
        <v>198</v>
      </c>
    </row>
    <row r="529">
      <c r="B529" s="15"/>
      <c r="C529" s="15"/>
      <c r="K529" s="15" t="s">
        <v>198</v>
      </c>
    </row>
    <row r="530">
      <c r="B530" s="15"/>
      <c r="C530" s="15"/>
      <c r="K530" s="15" t="s">
        <v>198</v>
      </c>
    </row>
    <row r="531">
      <c r="B531" s="15"/>
      <c r="C531" s="15"/>
      <c r="K531" s="15" t="s">
        <v>198</v>
      </c>
    </row>
    <row r="532">
      <c r="B532" s="15"/>
      <c r="C532" s="15"/>
      <c r="K532" s="15" t="s">
        <v>198</v>
      </c>
    </row>
    <row r="533">
      <c r="B533" s="15"/>
      <c r="C533" s="15"/>
      <c r="K533" s="15" t="s">
        <v>198</v>
      </c>
    </row>
    <row r="534">
      <c r="B534" s="15"/>
      <c r="C534" s="15"/>
      <c r="K534" s="15" t="s">
        <v>198</v>
      </c>
    </row>
    <row r="535">
      <c r="B535" s="15"/>
      <c r="C535" s="15"/>
      <c r="K535" s="15" t="s">
        <v>198</v>
      </c>
    </row>
    <row r="536">
      <c r="B536" s="15"/>
      <c r="C536" s="15"/>
      <c r="K536" s="15" t="s">
        <v>198</v>
      </c>
    </row>
    <row r="537">
      <c r="B537" s="15"/>
      <c r="C537" s="15"/>
      <c r="K537" s="15" t="s">
        <v>198</v>
      </c>
    </row>
    <row r="538">
      <c r="B538" s="15"/>
      <c r="C538" s="15"/>
      <c r="K538" s="15" t="s">
        <v>198</v>
      </c>
    </row>
    <row r="539">
      <c r="B539" s="15"/>
      <c r="C539" s="15"/>
      <c r="K539" s="15" t="s">
        <v>198</v>
      </c>
    </row>
    <row r="540">
      <c r="B540" s="15"/>
      <c r="C540" s="15"/>
      <c r="K540" s="15" t="s">
        <v>198</v>
      </c>
    </row>
    <row r="541">
      <c r="B541" s="15"/>
      <c r="C541" s="15"/>
      <c r="K541" s="15" t="s">
        <v>198</v>
      </c>
    </row>
    <row r="542">
      <c r="B542" s="15"/>
      <c r="C542" s="15"/>
      <c r="K542" s="15" t="s">
        <v>198</v>
      </c>
    </row>
    <row r="543">
      <c r="B543" s="15"/>
      <c r="C543" s="15"/>
      <c r="K543" s="15" t="s">
        <v>198</v>
      </c>
    </row>
    <row r="544">
      <c r="B544" s="15"/>
      <c r="C544" s="15"/>
      <c r="K544" s="15" t="s">
        <v>198</v>
      </c>
    </row>
    <row r="545">
      <c r="B545" s="15"/>
      <c r="C545" s="15"/>
      <c r="K545" s="15" t="s">
        <v>198</v>
      </c>
    </row>
    <row r="546">
      <c r="B546" s="15"/>
      <c r="C546" s="15"/>
      <c r="K546" s="15" t="s">
        <v>198</v>
      </c>
    </row>
    <row r="547">
      <c r="B547" s="15"/>
      <c r="C547" s="15"/>
      <c r="K547" s="15" t="s">
        <v>198</v>
      </c>
    </row>
    <row r="548">
      <c r="B548" s="15"/>
      <c r="C548" s="15"/>
      <c r="K548" s="15" t="s">
        <v>198</v>
      </c>
    </row>
    <row r="549">
      <c r="B549" s="15"/>
      <c r="C549" s="15"/>
      <c r="K549" s="15" t="s">
        <v>198</v>
      </c>
    </row>
    <row r="550">
      <c r="B550" s="15"/>
      <c r="C550" s="15"/>
      <c r="K550" s="15" t="s">
        <v>198</v>
      </c>
    </row>
    <row r="551">
      <c r="B551" s="15"/>
      <c r="C551" s="15"/>
      <c r="K551" s="15" t="s">
        <v>198</v>
      </c>
    </row>
    <row r="552">
      <c r="B552" s="15"/>
      <c r="C552" s="15"/>
      <c r="K552" s="15" t="s">
        <v>198</v>
      </c>
    </row>
    <row r="553">
      <c r="B553" s="15"/>
      <c r="C553" s="15"/>
      <c r="K553" s="15" t="s">
        <v>198</v>
      </c>
    </row>
    <row r="554">
      <c r="B554" s="15"/>
      <c r="C554" s="15"/>
      <c r="K554" s="15" t="s">
        <v>198</v>
      </c>
    </row>
    <row r="555">
      <c r="B555" s="15"/>
      <c r="C555" s="15"/>
      <c r="K555" s="15" t="s">
        <v>198</v>
      </c>
    </row>
    <row r="556">
      <c r="B556" s="15"/>
      <c r="C556" s="15"/>
      <c r="K556" s="15" t="s">
        <v>198</v>
      </c>
    </row>
    <row r="557">
      <c r="B557" s="15"/>
      <c r="C557" s="15"/>
      <c r="K557" s="15" t="s">
        <v>198</v>
      </c>
    </row>
    <row r="558">
      <c r="B558" s="15"/>
      <c r="C558" s="15"/>
      <c r="K558" s="15" t="s">
        <v>198</v>
      </c>
    </row>
    <row r="559">
      <c r="B559" s="15"/>
      <c r="C559" s="15"/>
      <c r="K559" s="15" t="s">
        <v>198</v>
      </c>
    </row>
    <row r="560">
      <c r="B560" s="15"/>
      <c r="C560" s="15"/>
      <c r="K560" s="15" t="s">
        <v>198</v>
      </c>
    </row>
    <row r="561">
      <c r="B561" s="15"/>
      <c r="C561" s="15"/>
      <c r="K561" s="15" t="s">
        <v>198</v>
      </c>
    </row>
    <row r="562">
      <c r="B562" s="15"/>
      <c r="C562" s="15"/>
      <c r="K562" s="15" t="s">
        <v>198</v>
      </c>
    </row>
    <row r="563">
      <c r="B563" s="15"/>
      <c r="C563" s="15"/>
      <c r="K563" s="15" t="s">
        <v>198</v>
      </c>
    </row>
    <row r="564">
      <c r="B564" s="15"/>
      <c r="C564" s="15"/>
      <c r="K564" s="15" t="s">
        <v>198</v>
      </c>
    </row>
    <row r="565">
      <c r="B565" s="15"/>
      <c r="C565" s="15"/>
      <c r="K565" s="15" t="s">
        <v>198</v>
      </c>
    </row>
    <row r="566">
      <c r="B566" s="15"/>
      <c r="C566" s="15"/>
      <c r="K566" s="15" t="s">
        <v>198</v>
      </c>
    </row>
    <row r="567">
      <c r="B567" s="15"/>
      <c r="C567" s="15"/>
      <c r="K567" s="15" t="s">
        <v>198</v>
      </c>
    </row>
    <row r="568">
      <c r="B568" s="15"/>
      <c r="C568" s="15"/>
      <c r="K568" s="15" t="s">
        <v>198</v>
      </c>
    </row>
    <row r="569">
      <c r="B569" s="15"/>
      <c r="C569" s="15"/>
      <c r="K569" s="15" t="s">
        <v>198</v>
      </c>
    </row>
    <row r="570">
      <c r="B570" s="15"/>
      <c r="C570" s="15"/>
      <c r="K570" s="15" t="s">
        <v>198</v>
      </c>
    </row>
    <row r="571">
      <c r="B571" s="15"/>
      <c r="C571" s="15"/>
      <c r="K571" s="15" t="s">
        <v>198</v>
      </c>
    </row>
    <row r="572">
      <c r="B572" s="15"/>
      <c r="C572" s="15"/>
      <c r="K572" s="15" t="s">
        <v>198</v>
      </c>
    </row>
    <row r="573">
      <c r="B573" s="15"/>
      <c r="C573" s="15"/>
      <c r="K573" s="15" t="s">
        <v>198</v>
      </c>
    </row>
    <row r="574">
      <c r="B574" s="15"/>
      <c r="C574" s="15"/>
      <c r="K574" s="15" t="s">
        <v>198</v>
      </c>
    </row>
    <row r="575">
      <c r="B575" s="15"/>
      <c r="C575" s="15"/>
      <c r="K575" s="15" t="s">
        <v>198</v>
      </c>
    </row>
    <row r="576">
      <c r="B576" s="15"/>
      <c r="C576" s="15"/>
      <c r="K576" s="15" t="s">
        <v>198</v>
      </c>
    </row>
    <row r="577">
      <c r="B577" s="15"/>
      <c r="C577" s="15"/>
      <c r="K577" s="15" t="s">
        <v>198</v>
      </c>
    </row>
    <row r="578">
      <c r="B578" s="15"/>
      <c r="C578" s="15"/>
      <c r="K578" s="15" t="s">
        <v>198</v>
      </c>
    </row>
    <row r="579">
      <c r="B579" s="15"/>
      <c r="C579" s="15"/>
      <c r="K579" s="15" t="s">
        <v>198</v>
      </c>
    </row>
    <row r="580">
      <c r="B580" s="15"/>
      <c r="C580" s="15"/>
      <c r="K580" s="15" t="s">
        <v>198</v>
      </c>
    </row>
    <row r="581">
      <c r="B581" s="15"/>
      <c r="C581" s="15"/>
      <c r="K581" s="15" t="s">
        <v>198</v>
      </c>
    </row>
    <row r="582">
      <c r="B582" s="15"/>
      <c r="C582" s="15"/>
      <c r="K582" s="15" t="s">
        <v>198</v>
      </c>
    </row>
    <row r="583">
      <c r="B583" s="15"/>
      <c r="C583" s="15"/>
      <c r="K583" s="15" t="s">
        <v>198</v>
      </c>
    </row>
    <row r="584">
      <c r="B584" s="15"/>
      <c r="C584" s="15"/>
      <c r="K584" s="15" t="s">
        <v>198</v>
      </c>
    </row>
    <row r="585">
      <c r="B585" s="15"/>
      <c r="C585" s="15"/>
      <c r="K585" s="15" t="s">
        <v>198</v>
      </c>
    </row>
    <row r="586">
      <c r="B586" s="15"/>
      <c r="C586" s="15"/>
      <c r="K586" s="15" t="s">
        <v>198</v>
      </c>
    </row>
    <row r="587">
      <c r="B587" s="15"/>
      <c r="C587" s="15"/>
      <c r="K587" s="15" t="s">
        <v>198</v>
      </c>
    </row>
    <row r="588">
      <c r="B588" s="15"/>
      <c r="C588" s="15"/>
      <c r="K588" s="15" t="s">
        <v>198</v>
      </c>
    </row>
    <row r="589">
      <c r="B589" s="15"/>
      <c r="C589" s="15"/>
      <c r="K589" s="15" t="s">
        <v>198</v>
      </c>
    </row>
    <row r="590">
      <c r="B590" s="15"/>
      <c r="C590" s="15"/>
      <c r="K590" s="15" t="s">
        <v>198</v>
      </c>
    </row>
    <row r="591">
      <c r="B591" s="15"/>
      <c r="C591" s="15"/>
      <c r="K591" s="15" t="s">
        <v>198</v>
      </c>
    </row>
    <row r="592">
      <c r="B592" s="15"/>
      <c r="C592" s="15"/>
      <c r="K592" s="15" t="s">
        <v>198</v>
      </c>
    </row>
    <row r="593">
      <c r="B593" s="15"/>
      <c r="C593" s="15"/>
      <c r="K593" s="15" t="s">
        <v>198</v>
      </c>
    </row>
    <row r="594">
      <c r="B594" s="15"/>
      <c r="C594" s="15"/>
      <c r="K594" s="15" t="s">
        <v>198</v>
      </c>
    </row>
    <row r="595">
      <c r="B595" s="15"/>
      <c r="C595" s="15"/>
      <c r="K595" s="15" t="s">
        <v>198</v>
      </c>
    </row>
    <row r="596">
      <c r="B596" s="15"/>
      <c r="C596" s="15"/>
      <c r="K596" s="15" t="s">
        <v>198</v>
      </c>
    </row>
    <row r="597">
      <c r="B597" s="15"/>
      <c r="C597" s="15"/>
      <c r="K597" s="15" t="s">
        <v>198</v>
      </c>
    </row>
    <row r="598">
      <c r="B598" s="15"/>
      <c r="C598" s="15"/>
      <c r="K598" s="15" t="s">
        <v>198</v>
      </c>
    </row>
    <row r="599">
      <c r="B599" s="15"/>
      <c r="C599" s="15"/>
      <c r="K599" s="15" t="s">
        <v>198</v>
      </c>
    </row>
    <row r="600">
      <c r="B600" s="15"/>
      <c r="C600" s="15"/>
      <c r="K600" s="15" t="s">
        <v>198</v>
      </c>
    </row>
    <row r="601">
      <c r="B601" s="15"/>
      <c r="C601" s="15"/>
      <c r="K601" s="15" t="s">
        <v>198</v>
      </c>
    </row>
    <row r="602">
      <c r="B602" s="15"/>
      <c r="C602" s="15"/>
      <c r="K602" s="15" t="s">
        <v>198</v>
      </c>
    </row>
    <row r="603">
      <c r="B603" s="15"/>
      <c r="C603" s="15"/>
      <c r="K603" s="15" t="s">
        <v>198</v>
      </c>
    </row>
    <row r="604">
      <c r="B604" s="15"/>
      <c r="C604" s="15"/>
      <c r="K604" s="15" t="s">
        <v>198</v>
      </c>
    </row>
    <row r="605">
      <c r="B605" s="15"/>
      <c r="C605" s="15"/>
      <c r="K605" s="15" t="s">
        <v>198</v>
      </c>
    </row>
    <row r="606">
      <c r="B606" s="15"/>
      <c r="C606" s="15"/>
      <c r="K606" s="15" t="s">
        <v>198</v>
      </c>
    </row>
    <row r="607">
      <c r="B607" s="15"/>
      <c r="C607" s="15"/>
      <c r="K607" s="15" t="s">
        <v>198</v>
      </c>
    </row>
    <row r="608">
      <c r="B608" s="15"/>
      <c r="C608" s="15"/>
      <c r="K608" s="15" t="s">
        <v>198</v>
      </c>
    </row>
    <row r="609">
      <c r="B609" s="15"/>
      <c r="C609" s="15"/>
      <c r="K609" s="15" t="s">
        <v>198</v>
      </c>
    </row>
    <row r="610">
      <c r="B610" s="15"/>
      <c r="C610" s="15"/>
      <c r="K610" s="15" t="s">
        <v>198</v>
      </c>
    </row>
    <row r="611">
      <c r="B611" s="15"/>
      <c r="C611" s="15"/>
      <c r="K611" s="15" t="s">
        <v>198</v>
      </c>
    </row>
    <row r="612">
      <c r="B612" s="15"/>
      <c r="C612" s="15"/>
      <c r="K612" s="15" t="s">
        <v>198</v>
      </c>
    </row>
    <row r="613">
      <c r="B613" s="15"/>
      <c r="C613" s="15"/>
      <c r="K613" s="15" t="s">
        <v>198</v>
      </c>
    </row>
    <row r="614">
      <c r="B614" s="15"/>
      <c r="C614" s="15"/>
      <c r="K614" s="15" t="s">
        <v>198</v>
      </c>
    </row>
    <row r="615">
      <c r="B615" s="15"/>
      <c r="C615" s="15"/>
      <c r="K615" s="15" t="s">
        <v>198</v>
      </c>
    </row>
    <row r="616">
      <c r="B616" s="15"/>
      <c r="C616" s="15"/>
      <c r="K616" s="15" t="s">
        <v>198</v>
      </c>
    </row>
    <row r="617">
      <c r="B617" s="15"/>
      <c r="C617" s="15"/>
      <c r="K617" s="15" t="s">
        <v>198</v>
      </c>
    </row>
    <row r="618">
      <c r="B618" s="15"/>
      <c r="C618" s="15"/>
      <c r="K618" s="15" t="s">
        <v>198</v>
      </c>
    </row>
    <row r="619">
      <c r="B619" s="15"/>
      <c r="C619" s="15"/>
      <c r="K619" s="15" t="s">
        <v>198</v>
      </c>
    </row>
    <row r="620">
      <c r="B620" s="15"/>
      <c r="C620" s="15"/>
      <c r="K620" s="15" t="s">
        <v>198</v>
      </c>
    </row>
    <row r="621">
      <c r="B621" s="15"/>
      <c r="C621" s="15"/>
      <c r="K621" s="15" t="s">
        <v>198</v>
      </c>
    </row>
    <row r="622">
      <c r="B622" s="15"/>
      <c r="C622" s="15"/>
      <c r="K622" s="15" t="s">
        <v>198</v>
      </c>
    </row>
    <row r="623">
      <c r="B623" s="15"/>
      <c r="C623" s="15"/>
      <c r="K623" s="15" t="s">
        <v>198</v>
      </c>
    </row>
    <row r="624">
      <c r="B624" s="15"/>
      <c r="C624" s="15"/>
      <c r="K624" s="15" t="s">
        <v>198</v>
      </c>
    </row>
    <row r="625">
      <c r="B625" s="15"/>
      <c r="C625" s="15"/>
      <c r="K625" s="15" t="s">
        <v>198</v>
      </c>
    </row>
    <row r="626">
      <c r="B626" s="15"/>
      <c r="C626" s="15"/>
      <c r="K626" s="15" t="s">
        <v>198</v>
      </c>
    </row>
    <row r="627">
      <c r="B627" s="15"/>
      <c r="C627" s="15"/>
      <c r="K627" s="15" t="s">
        <v>198</v>
      </c>
    </row>
    <row r="628">
      <c r="B628" s="15"/>
      <c r="C628" s="15"/>
      <c r="K628" s="15" t="s">
        <v>198</v>
      </c>
    </row>
    <row r="629">
      <c r="B629" s="15"/>
      <c r="C629" s="15"/>
      <c r="K629" s="15" t="s">
        <v>198</v>
      </c>
    </row>
    <row r="630">
      <c r="B630" s="15"/>
      <c r="C630" s="15"/>
      <c r="K630" s="15" t="s">
        <v>198</v>
      </c>
    </row>
    <row r="631">
      <c r="B631" s="15"/>
      <c r="C631" s="15"/>
      <c r="K631" s="15" t="s">
        <v>198</v>
      </c>
    </row>
    <row r="632">
      <c r="B632" s="15"/>
      <c r="C632" s="15"/>
      <c r="K632" s="15" t="s">
        <v>198</v>
      </c>
    </row>
    <row r="633">
      <c r="B633" s="15"/>
      <c r="C633" s="15"/>
      <c r="K633" s="15" t="s">
        <v>198</v>
      </c>
    </row>
    <row r="634">
      <c r="B634" s="15"/>
      <c r="C634" s="15"/>
      <c r="K634" s="15" t="s">
        <v>198</v>
      </c>
    </row>
    <row r="635">
      <c r="B635" s="15"/>
      <c r="C635" s="15"/>
      <c r="K635" s="15" t="s">
        <v>198</v>
      </c>
    </row>
    <row r="636">
      <c r="B636" s="15"/>
      <c r="C636" s="15"/>
      <c r="K636" s="15" t="s">
        <v>198</v>
      </c>
    </row>
    <row r="637">
      <c r="B637" s="15"/>
      <c r="C637" s="15"/>
      <c r="K637" s="15" t="s">
        <v>198</v>
      </c>
    </row>
    <row r="638">
      <c r="B638" s="15"/>
      <c r="C638" s="15"/>
      <c r="K638" s="15" t="s">
        <v>198</v>
      </c>
    </row>
    <row r="639">
      <c r="B639" s="15"/>
      <c r="C639" s="15"/>
      <c r="K639" s="15" t="s">
        <v>198</v>
      </c>
    </row>
    <row r="640">
      <c r="B640" s="15"/>
      <c r="C640" s="15"/>
      <c r="K640" s="15" t="s">
        <v>198</v>
      </c>
    </row>
    <row r="641">
      <c r="B641" s="15"/>
      <c r="C641" s="15"/>
      <c r="K641" s="15" t="s">
        <v>198</v>
      </c>
    </row>
    <row r="642">
      <c r="B642" s="15"/>
      <c r="C642" s="15"/>
      <c r="K642" s="15" t="s">
        <v>198</v>
      </c>
    </row>
    <row r="643">
      <c r="B643" s="15"/>
      <c r="C643" s="15"/>
      <c r="K643" s="15" t="s">
        <v>198</v>
      </c>
    </row>
    <row r="644">
      <c r="B644" s="15"/>
      <c r="C644" s="15"/>
      <c r="K644" s="15" t="s">
        <v>198</v>
      </c>
    </row>
    <row r="645">
      <c r="B645" s="15"/>
      <c r="C645" s="15"/>
      <c r="K645" s="15" t="s">
        <v>198</v>
      </c>
    </row>
    <row r="646">
      <c r="B646" s="15"/>
      <c r="C646" s="15"/>
      <c r="K646" s="15" t="s">
        <v>198</v>
      </c>
    </row>
    <row r="647">
      <c r="B647" s="15"/>
      <c r="C647" s="15"/>
      <c r="K647" s="15" t="s">
        <v>198</v>
      </c>
    </row>
    <row r="648">
      <c r="B648" s="15"/>
      <c r="C648" s="15"/>
      <c r="K648" s="15" t="s">
        <v>198</v>
      </c>
    </row>
    <row r="649">
      <c r="B649" s="15"/>
      <c r="C649" s="15"/>
      <c r="K649" s="15" t="s">
        <v>198</v>
      </c>
    </row>
    <row r="650">
      <c r="B650" s="15"/>
      <c r="C650" s="15"/>
      <c r="K650" s="15" t="s">
        <v>198</v>
      </c>
    </row>
    <row r="651">
      <c r="B651" s="15"/>
      <c r="C651" s="15"/>
      <c r="K651" s="15" t="s">
        <v>198</v>
      </c>
    </row>
    <row r="652">
      <c r="B652" s="15"/>
      <c r="C652" s="15"/>
      <c r="K652" s="15" t="s">
        <v>198</v>
      </c>
    </row>
    <row r="653">
      <c r="B653" s="15"/>
      <c r="C653" s="15"/>
      <c r="K653" s="15" t="s">
        <v>198</v>
      </c>
    </row>
    <row r="654">
      <c r="B654" s="15"/>
      <c r="C654" s="15"/>
      <c r="K654" s="15" t="s">
        <v>198</v>
      </c>
    </row>
    <row r="655">
      <c r="B655" s="15"/>
      <c r="C655" s="15"/>
      <c r="K655" s="15" t="s">
        <v>198</v>
      </c>
    </row>
    <row r="656">
      <c r="B656" s="15"/>
      <c r="C656" s="15"/>
      <c r="K656" s="15" t="s">
        <v>198</v>
      </c>
    </row>
    <row r="657">
      <c r="B657" s="15"/>
      <c r="C657" s="15"/>
      <c r="K657" s="15" t="s">
        <v>198</v>
      </c>
    </row>
    <row r="658">
      <c r="B658" s="15"/>
      <c r="C658" s="15"/>
      <c r="K658" s="15" t="s">
        <v>198</v>
      </c>
    </row>
    <row r="659">
      <c r="B659" s="15"/>
      <c r="C659" s="15"/>
      <c r="K659" s="15" t="s">
        <v>198</v>
      </c>
    </row>
    <row r="660">
      <c r="B660" s="15"/>
      <c r="C660" s="15"/>
      <c r="K660" s="15" t="s">
        <v>198</v>
      </c>
    </row>
    <row r="661">
      <c r="B661" s="15"/>
      <c r="C661" s="15"/>
      <c r="K661" s="15" t="s">
        <v>198</v>
      </c>
    </row>
    <row r="662">
      <c r="B662" s="15"/>
      <c r="C662" s="15"/>
      <c r="K662" s="15" t="s">
        <v>198</v>
      </c>
    </row>
    <row r="663">
      <c r="B663" s="15"/>
      <c r="C663" s="15"/>
      <c r="K663" s="15" t="s">
        <v>198</v>
      </c>
    </row>
    <row r="664">
      <c r="B664" s="15"/>
      <c r="C664" s="15"/>
      <c r="K664" s="15" t="s">
        <v>198</v>
      </c>
    </row>
    <row r="665">
      <c r="B665" s="15"/>
      <c r="C665" s="15"/>
      <c r="K665" s="15" t="s">
        <v>198</v>
      </c>
    </row>
    <row r="666">
      <c r="B666" s="15"/>
      <c r="C666" s="15"/>
      <c r="K666" s="15" t="s">
        <v>198</v>
      </c>
    </row>
    <row r="667">
      <c r="B667" s="15"/>
      <c r="C667" s="15"/>
      <c r="K667" s="15" t="s">
        <v>198</v>
      </c>
    </row>
    <row r="668">
      <c r="B668" s="15"/>
      <c r="C668" s="15"/>
      <c r="K668" s="15" t="s">
        <v>198</v>
      </c>
    </row>
    <row r="669">
      <c r="B669" s="15"/>
      <c r="C669" s="15"/>
      <c r="K669" s="15" t="s">
        <v>198</v>
      </c>
    </row>
    <row r="670">
      <c r="B670" s="15"/>
      <c r="C670" s="15"/>
      <c r="K670" s="15" t="s">
        <v>198</v>
      </c>
    </row>
    <row r="671">
      <c r="B671" s="15"/>
      <c r="C671" s="15"/>
      <c r="K671" s="15" t="s">
        <v>198</v>
      </c>
    </row>
    <row r="672">
      <c r="B672" s="15"/>
      <c r="C672" s="15"/>
      <c r="K672" s="15" t="s">
        <v>198</v>
      </c>
    </row>
    <row r="673">
      <c r="B673" s="15"/>
      <c r="C673" s="15"/>
      <c r="K673" s="15" t="s">
        <v>198</v>
      </c>
    </row>
    <row r="674">
      <c r="B674" s="15"/>
      <c r="C674" s="15"/>
      <c r="K674" s="15" t="s">
        <v>198</v>
      </c>
    </row>
    <row r="675">
      <c r="B675" s="15"/>
      <c r="C675" s="15"/>
      <c r="K675" s="15" t="s">
        <v>198</v>
      </c>
    </row>
    <row r="676">
      <c r="B676" s="15"/>
      <c r="C676" s="15"/>
      <c r="K676" s="15" t="s">
        <v>198</v>
      </c>
    </row>
    <row r="677">
      <c r="B677" s="15"/>
      <c r="C677" s="15"/>
      <c r="K677" s="15" t="s">
        <v>198</v>
      </c>
    </row>
    <row r="678">
      <c r="B678" s="15"/>
      <c r="C678" s="15"/>
      <c r="K678" s="15" t="s">
        <v>198</v>
      </c>
    </row>
    <row r="679">
      <c r="B679" s="15"/>
      <c r="C679" s="15"/>
      <c r="K679" s="15" t="s">
        <v>198</v>
      </c>
    </row>
    <row r="680">
      <c r="B680" s="15"/>
      <c r="C680" s="15"/>
      <c r="K680" s="15" t="s">
        <v>198</v>
      </c>
    </row>
    <row r="681">
      <c r="B681" s="15"/>
      <c r="C681" s="15"/>
      <c r="K681" s="15" t="s">
        <v>198</v>
      </c>
    </row>
    <row r="682">
      <c r="B682" s="15"/>
      <c r="C682" s="15"/>
      <c r="K682" s="15" t="s">
        <v>198</v>
      </c>
    </row>
    <row r="683">
      <c r="B683" s="15"/>
      <c r="C683" s="15"/>
      <c r="K683" s="15" t="s">
        <v>198</v>
      </c>
    </row>
    <row r="684">
      <c r="B684" s="15"/>
      <c r="C684" s="15"/>
      <c r="K684" s="15" t="s">
        <v>198</v>
      </c>
    </row>
    <row r="685">
      <c r="B685" s="15"/>
      <c r="C685" s="15"/>
      <c r="K685" s="15" t="s">
        <v>198</v>
      </c>
    </row>
    <row r="686">
      <c r="B686" s="15"/>
      <c r="C686" s="15"/>
      <c r="K686" s="15" t="s">
        <v>198</v>
      </c>
    </row>
    <row r="687">
      <c r="B687" s="15"/>
      <c r="C687" s="15"/>
      <c r="K687" s="15" t="s">
        <v>198</v>
      </c>
    </row>
    <row r="688">
      <c r="B688" s="15"/>
      <c r="C688" s="15"/>
      <c r="K688" s="15" t="s">
        <v>198</v>
      </c>
    </row>
    <row r="689">
      <c r="B689" s="15"/>
      <c r="C689" s="15"/>
      <c r="K689" s="15" t="s">
        <v>198</v>
      </c>
    </row>
    <row r="690">
      <c r="B690" s="15"/>
      <c r="C690" s="15"/>
      <c r="K690" s="15" t="s">
        <v>198</v>
      </c>
    </row>
    <row r="691">
      <c r="B691" s="15"/>
      <c r="C691" s="15"/>
      <c r="K691" s="15" t="s">
        <v>198</v>
      </c>
    </row>
    <row r="692">
      <c r="B692" s="15"/>
      <c r="C692" s="15"/>
      <c r="K692" s="15" t="s">
        <v>198</v>
      </c>
    </row>
    <row r="693">
      <c r="B693" s="15"/>
      <c r="C693" s="15"/>
      <c r="K693" s="15" t="s">
        <v>198</v>
      </c>
    </row>
    <row r="694">
      <c r="B694" s="15"/>
      <c r="C694" s="15"/>
      <c r="K694" s="15" t="s">
        <v>198</v>
      </c>
    </row>
    <row r="695">
      <c r="B695" s="15"/>
      <c r="C695" s="15"/>
      <c r="K695" s="15" t="s">
        <v>198</v>
      </c>
    </row>
    <row r="696">
      <c r="B696" s="15"/>
      <c r="C696" s="15"/>
      <c r="K696" s="15" t="s">
        <v>198</v>
      </c>
    </row>
    <row r="697">
      <c r="B697" s="15"/>
      <c r="C697" s="15"/>
      <c r="K697" s="15" t="s">
        <v>198</v>
      </c>
    </row>
    <row r="698">
      <c r="B698" s="15"/>
      <c r="C698" s="15"/>
      <c r="K698" s="15" t="s">
        <v>198</v>
      </c>
    </row>
    <row r="699">
      <c r="B699" s="15"/>
      <c r="C699" s="15"/>
      <c r="K699" s="15" t="s">
        <v>198</v>
      </c>
    </row>
    <row r="700">
      <c r="B700" s="15"/>
      <c r="C700" s="15"/>
      <c r="K700" s="15" t="s">
        <v>198</v>
      </c>
    </row>
    <row r="701">
      <c r="B701" s="15"/>
      <c r="C701" s="15"/>
      <c r="K701" s="15" t="s">
        <v>198</v>
      </c>
    </row>
    <row r="702">
      <c r="B702" s="15"/>
      <c r="C702" s="15"/>
      <c r="K702" s="15" t="s">
        <v>198</v>
      </c>
    </row>
    <row r="703">
      <c r="B703" s="15"/>
      <c r="C703" s="15"/>
      <c r="K703" s="15" t="s">
        <v>198</v>
      </c>
    </row>
    <row r="704">
      <c r="B704" s="15"/>
      <c r="C704" s="15"/>
      <c r="K704" s="15" t="s">
        <v>198</v>
      </c>
    </row>
    <row r="705">
      <c r="B705" s="15"/>
      <c r="C705" s="15"/>
      <c r="K705" s="15" t="s">
        <v>198</v>
      </c>
    </row>
    <row r="706">
      <c r="B706" s="15"/>
      <c r="C706" s="15"/>
      <c r="K706" s="15" t="s">
        <v>198</v>
      </c>
    </row>
    <row r="707">
      <c r="B707" s="15"/>
      <c r="C707" s="15"/>
      <c r="K707" s="15" t="s">
        <v>198</v>
      </c>
    </row>
    <row r="708">
      <c r="B708" s="15"/>
      <c r="C708" s="15"/>
      <c r="K708" s="15" t="s">
        <v>198</v>
      </c>
    </row>
    <row r="709">
      <c r="B709" s="15"/>
      <c r="C709" s="15"/>
      <c r="K709" s="15" t="s">
        <v>198</v>
      </c>
    </row>
    <row r="710">
      <c r="B710" s="15"/>
      <c r="C710" s="15"/>
      <c r="K710" s="15" t="s">
        <v>198</v>
      </c>
    </row>
    <row r="711">
      <c r="B711" s="15"/>
      <c r="C711" s="15"/>
      <c r="K711" s="15" t="s">
        <v>198</v>
      </c>
    </row>
    <row r="712">
      <c r="B712" s="15"/>
      <c r="C712" s="15"/>
      <c r="K712" s="15" t="s">
        <v>198</v>
      </c>
    </row>
    <row r="713">
      <c r="B713" s="15"/>
      <c r="C713" s="15"/>
      <c r="K713" s="15" t="s">
        <v>198</v>
      </c>
    </row>
    <row r="714">
      <c r="B714" s="15"/>
      <c r="C714" s="15"/>
      <c r="K714" s="15" t="s">
        <v>198</v>
      </c>
    </row>
    <row r="715">
      <c r="B715" s="15"/>
      <c r="C715" s="15"/>
      <c r="K715" s="15" t="s">
        <v>198</v>
      </c>
    </row>
    <row r="716">
      <c r="B716" s="15"/>
      <c r="C716" s="15"/>
      <c r="K716" s="15" t="s">
        <v>198</v>
      </c>
    </row>
    <row r="717">
      <c r="B717" s="15"/>
      <c r="C717" s="15"/>
      <c r="K717" s="15" t="s">
        <v>198</v>
      </c>
    </row>
    <row r="718">
      <c r="B718" s="15"/>
      <c r="C718" s="15"/>
      <c r="K718" s="15" t="s">
        <v>198</v>
      </c>
    </row>
    <row r="719">
      <c r="B719" s="15"/>
      <c r="C719" s="15"/>
      <c r="K719" s="15" t="s">
        <v>198</v>
      </c>
    </row>
    <row r="720">
      <c r="B720" s="15"/>
      <c r="C720" s="15"/>
      <c r="K720" s="15" t="s">
        <v>198</v>
      </c>
    </row>
    <row r="721">
      <c r="B721" s="15"/>
      <c r="C721" s="15"/>
      <c r="K721" s="15" t="s">
        <v>198</v>
      </c>
    </row>
    <row r="722">
      <c r="B722" s="15"/>
      <c r="C722" s="15"/>
      <c r="K722" s="15" t="s">
        <v>198</v>
      </c>
    </row>
    <row r="723">
      <c r="B723" s="15"/>
      <c r="C723" s="15"/>
      <c r="K723" s="15" t="s">
        <v>198</v>
      </c>
    </row>
    <row r="724">
      <c r="B724" s="15"/>
      <c r="C724" s="15"/>
      <c r="K724" s="15" t="s">
        <v>198</v>
      </c>
    </row>
    <row r="725">
      <c r="B725" s="15"/>
      <c r="C725" s="15"/>
      <c r="K725" s="15" t="s">
        <v>198</v>
      </c>
    </row>
    <row r="726">
      <c r="B726" s="15"/>
      <c r="C726" s="15"/>
      <c r="K726" s="15" t="s">
        <v>198</v>
      </c>
    </row>
    <row r="727">
      <c r="B727" s="15"/>
      <c r="C727" s="15"/>
      <c r="K727" s="15" t="s">
        <v>198</v>
      </c>
    </row>
    <row r="728">
      <c r="B728" s="15"/>
      <c r="C728" s="15"/>
      <c r="K728" s="15" t="s">
        <v>198</v>
      </c>
    </row>
    <row r="729">
      <c r="B729" s="15"/>
      <c r="C729" s="15"/>
      <c r="K729" s="15" t="s">
        <v>198</v>
      </c>
    </row>
    <row r="730">
      <c r="B730" s="15"/>
      <c r="C730" s="15"/>
      <c r="K730" s="15" t="s">
        <v>198</v>
      </c>
    </row>
    <row r="731">
      <c r="B731" s="15"/>
      <c r="C731" s="15"/>
      <c r="K731" s="15" t="s">
        <v>198</v>
      </c>
    </row>
    <row r="732">
      <c r="B732" s="15"/>
      <c r="C732" s="15"/>
      <c r="K732" s="15" t="s">
        <v>198</v>
      </c>
    </row>
    <row r="733">
      <c r="B733" s="15"/>
      <c r="C733" s="15"/>
      <c r="K733" s="15" t="s">
        <v>198</v>
      </c>
    </row>
    <row r="734">
      <c r="B734" s="15"/>
      <c r="C734" s="15"/>
      <c r="K734" s="15" t="s">
        <v>198</v>
      </c>
    </row>
    <row r="735">
      <c r="B735" s="15"/>
      <c r="C735" s="15"/>
      <c r="K735" s="15" t="s">
        <v>198</v>
      </c>
    </row>
    <row r="736">
      <c r="B736" s="15"/>
      <c r="C736" s="15"/>
      <c r="K736" s="15" t="s">
        <v>198</v>
      </c>
    </row>
    <row r="737">
      <c r="B737" s="15"/>
      <c r="C737" s="15"/>
      <c r="K737" s="15" t="s">
        <v>198</v>
      </c>
    </row>
    <row r="738">
      <c r="B738" s="15"/>
      <c r="C738" s="15"/>
      <c r="K738" s="15" t="s">
        <v>198</v>
      </c>
    </row>
    <row r="739">
      <c r="B739" s="15"/>
      <c r="C739" s="15"/>
      <c r="K739" s="15" t="s">
        <v>198</v>
      </c>
    </row>
    <row r="740">
      <c r="B740" s="15"/>
      <c r="C740" s="15"/>
      <c r="K740" s="15" t="s">
        <v>198</v>
      </c>
    </row>
    <row r="741">
      <c r="B741" s="15"/>
      <c r="C741" s="15"/>
      <c r="K741" s="15" t="s">
        <v>198</v>
      </c>
    </row>
    <row r="742">
      <c r="B742" s="15"/>
      <c r="C742" s="15"/>
      <c r="K742" s="15" t="s">
        <v>198</v>
      </c>
    </row>
    <row r="743">
      <c r="B743" s="15"/>
      <c r="C743" s="15"/>
      <c r="K743" s="15" t="s">
        <v>198</v>
      </c>
    </row>
    <row r="744">
      <c r="B744" s="15"/>
      <c r="C744" s="15"/>
      <c r="K744" s="15" t="s">
        <v>198</v>
      </c>
    </row>
    <row r="745">
      <c r="B745" s="15"/>
      <c r="C745" s="15"/>
      <c r="K745" s="15" t="s">
        <v>198</v>
      </c>
    </row>
    <row r="746">
      <c r="B746" s="15"/>
      <c r="C746" s="15"/>
      <c r="K746" s="15" t="s">
        <v>198</v>
      </c>
    </row>
    <row r="747">
      <c r="B747" s="15"/>
      <c r="C747" s="15"/>
      <c r="K747" s="15" t="s">
        <v>198</v>
      </c>
    </row>
    <row r="748">
      <c r="B748" s="15"/>
      <c r="C748" s="15"/>
      <c r="K748" s="15" t="s">
        <v>198</v>
      </c>
    </row>
    <row r="749">
      <c r="B749" s="15"/>
      <c r="C749" s="15"/>
      <c r="K749" s="15" t="s">
        <v>198</v>
      </c>
    </row>
    <row r="750">
      <c r="B750" s="15"/>
      <c r="C750" s="15"/>
      <c r="K750" s="15" t="s">
        <v>198</v>
      </c>
    </row>
    <row r="751">
      <c r="B751" s="15"/>
      <c r="C751" s="15"/>
      <c r="K751" s="15" t="s">
        <v>198</v>
      </c>
    </row>
    <row r="752">
      <c r="B752" s="15"/>
      <c r="C752" s="15"/>
      <c r="K752" s="15" t="s">
        <v>198</v>
      </c>
    </row>
    <row r="753">
      <c r="B753" s="15"/>
      <c r="C753" s="15"/>
      <c r="K753" s="15" t="s">
        <v>198</v>
      </c>
    </row>
    <row r="754">
      <c r="B754" s="15"/>
      <c r="C754" s="15"/>
      <c r="K754" s="15" t="s">
        <v>198</v>
      </c>
    </row>
    <row r="755">
      <c r="B755" s="15"/>
      <c r="C755" s="15"/>
      <c r="K755" s="15" t="s">
        <v>198</v>
      </c>
    </row>
    <row r="756">
      <c r="B756" s="15"/>
      <c r="C756" s="15"/>
      <c r="K756" s="15" t="s">
        <v>198</v>
      </c>
    </row>
    <row r="757">
      <c r="B757" s="15"/>
      <c r="C757" s="15"/>
      <c r="K757" s="15" t="s">
        <v>198</v>
      </c>
    </row>
    <row r="758">
      <c r="B758" s="15"/>
      <c r="C758" s="15"/>
      <c r="K758" s="15" t="s">
        <v>198</v>
      </c>
    </row>
    <row r="759">
      <c r="B759" s="15"/>
      <c r="C759" s="15"/>
      <c r="K759" s="15" t="s">
        <v>198</v>
      </c>
    </row>
    <row r="760">
      <c r="B760" s="15"/>
      <c r="C760" s="15"/>
      <c r="K760" s="15" t="s">
        <v>198</v>
      </c>
    </row>
    <row r="761">
      <c r="B761" s="15"/>
      <c r="C761" s="15"/>
      <c r="K761" s="15" t="s">
        <v>198</v>
      </c>
    </row>
    <row r="762">
      <c r="B762" s="15"/>
      <c r="C762" s="15"/>
      <c r="K762" s="15" t="s">
        <v>198</v>
      </c>
    </row>
    <row r="763">
      <c r="B763" s="15"/>
      <c r="C763" s="15"/>
      <c r="K763" s="15" t="s">
        <v>198</v>
      </c>
    </row>
    <row r="764">
      <c r="B764" s="15"/>
      <c r="C764" s="15"/>
      <c r="K764" s="15" t="s">
        <v>198</v>
      </c>
    </row>
    <row r="765">
      <c r="B765" s="15"/>
      <c r="C765" s="15"/>
      <c r="K765" s="15" t="s">
        <v>198</v>
      </c>
    </row>
    <row r="766">
      <c r="B766" s="15"/>
      <c r="C766" s="15"/>
      <c r="K766" s="15" t="s">
        <v>198</v>
      </c>
    </row>
    <row r="767">
      <c r="B767" s="15"/>
      <c r="C767" s="15"/>
      <c r="K767" s="15" t="s">
        <v>198</v>
      </c>
    </row>
    <row r="768">
      <c r="B768" s="15"/>
      <c r="C768" s="15"/>
      <c r="K768" s="15" t="s">
        <v>198</v>
      </c>
    </row>
    <row r="769">
      <c r="B769" s="15"/>
      <c r="C769" s="15"/>
      <c r="K769" s="15" t="s">
        <v>198</v>
      </c>
    </row>
    <row r="770">
      <c r="B770" s="15"/>
      <c r="C770" s="15"/>
      <c r="K770" s="15" t="s">
        <v>198</v>
      </c>
    </row>
    <row r="771">
      <c r="B771" s="15"/>
      <c r="C771" s="15"/>
      <c r="K771" s="15" t="s">
        <v>198</v>
      </c>
    </row>
    <row r="772">
      <c r="B772" s="15"/>
      <c r="C772" s="15"/>
      <c r="K772" s="15" t="s">
        <v>198</v>
      </c>
    </row>
    <row r="773">
      <c r="B773" s="15"/>
      <c r="C773" s="15"/>
      <c r="K773" s="15" t="s">
        <v>198</v>
      </c>
    </row>
    <row r="774">
      <c r="B774" s="15"/>
      <c r="C774" s="15"/>
      <c r="K774" s="15" t="s">
        <v>198</v>
      </c>
    </row>
    <row r="775">
      <c r="B775" s="15"/>
      <c r="C775" s="15"/>
      <c r="K775" s="15" t="s">
        <v>198</v>
      </c>
    </row>
    <row r="776">
      <c r="B776" s="15"/>
      <c r="C776" s="15"/>
      <c r="K776" s="15" t="s">
        <v>198</v>
      </c>
    </row>
    <row r="777">
      <c r="B777" s="15"/>
      <c r="C777" s="15"/>
      <c r="K777" s="15" t="s">
        <v>198</v>
      </c>
    </row>
    <row r="778">
      <c r="B778" s="15"/>
      <c r="C778" s="15"/>
      <c r="K778" s="15" t="s">
        <v>198</v>
      </c>
    </row>
    <row r="779">
      <c r="B779" s="15"/>
      <c r="C779" s="15"/>
      <c r="K779" s="15" t="s">
        <v>198</v>
      </c>
    </row>
    <row r="780">
      <c r="B780" s="15"/>
      <c r="C780" s="15"/>
      <c r="K780" s="15" t="s">
        <v>198</v>
      </c>
    </row>
    <row r="781">
      <c r="B781" s="15"/>
      <c r="C781" s="15"/>
      <c r="K781" s="15" t="s">
        <v>198</v>
      </c>
    </row>
    <row r="782">
      <c r="B782" s="15"/>
      <c r="C782" s="15"/>
      <c r="K782" s="15" t="s">
        <v>198</v>
      </c>
    </row>
    <row r="783">
      <c r="B783" s="15"/>
      <c r="C783" s="15"/>
      <c r="K783" s="15" t="s">
        <v>198</v>
      </c>
    </row>
    <row r="784">
      <c r="B784" s="15"/>
      <c r="C784" s="15"/>
      <c r="K784" s="15" t="s">
        <v>198</v>
      </c>
    </row>
    <row r="785">
      <c r="B785" s="15"/>
      <c r="C785" s="15"/>
      <c r="K785" s="15" t="s">
        <v>198</v>
      </c>
    </row>
    <row r="786">
      <c r="B786" s="15"/>
      <c r="C786" s="15"/>
      <c r="K786" s="15" t="s">
        <v>198</v>
      </c>
    </row>
    <row r="787">
      <c r="B787" s="15"/>
      <c r="C787" s="15"/>
      <c r="K787" s="15" t="s">
        <v>198</v>
      </c>
    </row>
    <row r="788">
      <c r="B788" s="15"/>
      <c r="C788" s="15"/>
      <c r="K788" s="15" t="s">
        <v>198</v>
      </c>
    </row>
    <row r="789">
      <c r="B789" s="15"/>
      <c r="C789" s="15"/>
      <c r="K789" s="15" t="s">
        <v>198</v>
      </c>
    </row>
    <row r="790">
      <c r="B790" s="15"/>
      <c r="C790" s="15"/>
      <c r="K790" s="15" t="s">
        <v>198</v>
      </c>
    </row>
    <row r="791">
      <c r="B791" s="15"/>
      <c r="C791" s="15"/>
      <c r="K791" s="15" t="s">
        <v>198</v>
      </c>
    </row>
    <row r="792">
      <c r="B792" s="15"/>
      <c r="C792" s="15"/>
      <c r="K792" s="15" t="s">
        <v>198</v>
      </c>
    </row>
    <row r="793">
      <c r="B793" s="15"/>
      <c r="C793" s="15"/>
      <c r="K793" s="15" t="s">
        <v>198</v>
      </c>
    </row>
    <row r="794">
      <c r="B794" s="15"/>
      <c r="C794" s="15"/>
      <c r="K794" s="15" t="s">
        <v>198</v>
      </c>
    </row>
    <row r="795">
      <c r="B795" s="15"/>
      <c r="C795" s="15"/>
      <c r="K795" s="15" t="s">
        <v>198</v>
      </c>
    </row>
    <row r="796">
      <c r="B796" s="15"/>
      <c r="C796" s="15"/>
      <c r="K796" s="15" t="s">
        <v>198</v>
      </c>
    </row>
    <row r="797">
      <c r="B797" s="15"/>
      <c r="C797" s="15"/>
      <c r="K797" s="15" t="s">
        <v>198</v>
      </c>
    </row>
    <row r="798">
      <c r="B798" s="15"/>
      <c r="C798" s="15"/>
      <c r="K798" s="15" t="s">
        <v>198</v>
      </c>
    </row>
    <row r="799">
      <c r="B799" s="15"/>
      <c r="C799" s="15"/>
      <c r="K799" s="15" t="s">
        <v>198</v>
      </c>
    </row>
    <row r="800">
      <c r="B800" s="15"/>
      <c r="C800" s="15"/>
      <c r="K800" s="15" t="s">
        <v>198</v>
      </c>
    </row>
    <row r="801">
      <c r="B801" s="15"/>
      <c r="C801" s="15"/>
      <c r="K801" s="15" t="s">
        <v>198</v>
      </c>
    </row>
    <row r="802">
      <c r="B802" s="15"/>
      <c r="C802" s="15"/>
      <c r="K802" s="15" t="s">
        <v>198</v>
      </c>
    </row>
    <row r="803">
      <c r="B803" s="15"/>
      <c r="C803" s="15"/>
      <c r="K803" s="15" t="s">
        <v>198</v>
      </c>
    </row>
    <row r="804">
      <c r="B804" s="15"/>
      <c r="C804" s="15"/>
      <c r="K804" s="15" t="s">
        <v>198</v>
      </c>
    </row>
    <row r="805">
      <c r="B805" s="15"/>
      <c r="C805" s="15"/>
      <c r="K805" s="15" t="s">
        <v>198</v>
      </c>
    </row>
    <row r="806">
      <c r="B806" s="15"/>
      <c r="C806" s="15"/>
      <c r="K806" s="15" t="s">
        <v>198</v>
      </c>
    </row>
    <row r="807">
      <c r="B807" s="15"/>
      <c r="C807" s="15"/>
      <c r="K807" s="15" t="s">
        <v>198</v>
      </c>
    </row>
    <row r="808">
      <c r="B808" s="15"/>
      <c r="C808" s="15"/>
      <c r="K808" s="15" t="s">
        <v>198</v>
      </c>
    </row>
    <row r="809">
      <c r="B809" s="15"/>
      <c r="C809" s="15"/>
      <c r="K809" s="15" t="s">
        <v>198</v>
      </c>
    </row>
    <row r="810">
      <c r="B810" s="15"/>
      <c r="C810" s="15"/>
      <c r="K810" s="15" t="s">
        <v>198</v>
      </c>
    </row>
    <row r="811">
      <c r="B811" s="15"/>
      <c r="C811" s="15"/>
      <c r="K811" s="15" t="s">
        <v>198</v>
      </c>
    </row>
    <row r="812">
      <c r="B812" s="15"/>
      <c r="C812" s="15"/>
      <c r="K812" s="15" t="s">
        <v>198</v>
      </c>
    </row>
    <row r="813">
      <c r="B813" s="15"/>
      <c r="C813" s="15"/>
      <c r="K813" s="15" t="s">
        <v>198</v>
      </c>
    </row>
    <row r="814">
      <c r="B814" s="15"/>
      <c r="C814" s="15"/>
      <c r="K814" s="15" t="s">
        <v>198</v>
      </c>
    </row>
    <row r="815">
      <c r="B815" s="15"/>
      <c r="C815" s="15"/>
      <c r="K815" s="15" t="s">
        <v>198</v>
      </c>
    </row>
    <row r="816">
      <c r="B816" s="15"/>
      <c r="C816" s="15"/>
      <c r="K816" s="15" t="s">
        <v>198</v>
      </c>
    </row>
    <row r="817">
      <c r="B817" s="15"/>
      <c r="C817" s="15"/>
      <c r="K817" s="15" t="s">
        <v>198</v>
      </c>
    </row>
    <row r="818">
      <c r="B818" s="15"/>
      <c r="C818" s="15"/>
      <c r="K818" s="15" t="s">
        <v>198</v>
      </c>
    </row>
    <row r="819">
      <c r="B819" s="15"/>
      <c r="C819" s="15"/>
      <c r="K819" s="15" t="s">
        <v>198</v>
      </c>
    </row>
    <row r="820">
      <c r="B820" s="15"/>
      <c r="C820" s="15"/>
      <c r="K820" s="15" t="s">
        <v>198</v>
      </c>
    </row>
    <row r="821">
      <c r="B821" s="15"/>
      <c r="C821" s="15"/>
      <c r="K821" s="15" t="s">
        <v>198</v>
      </c>
    </row>
    <row r="822">
      <c r="B822" s="15"/>
      <c r="C822" s="15"/>
      <c r="K822" s="15" t="s">
        <v>198</v>
      </c>
    </row>
    <row r="823">
      <c r="B823" s="15"/>
      <c r="C823" s="15"/>
      <c r="K823" s="15" t="s">
        <v>198</v>
      </c>
    </row>
    <row r="824">
      <c r="B824" s="15"/>
      <c r="C824" s="15"/>
      <c r="K824" s="15" t="s">
        <v>198</v>
      </c>
    </row>
    <row r="825">
      <c r="B825" s="15"/>
      <c r="C825" s="15"/>
      <c r="K825" s="15" t="s">
        <v>198</v>
      </c>
    </row>
    <row r="826">
      <c r="B826" s="15"/>
      <c r="C826" s="15"/>
      <c r="K826" s="15" t="s">
        <v>198</v>
      </c>
    </row>
    <row r="827">
      <c r="B827" s="15"/>
      <c r="C827" s="15"/>
      <c r="K827" s="15" t="s">
        <v>198</v>
      </c>
    </row>
    <row r="828">
      <c r="B828" s="15"/>
      <c r="C828" s="15"/>
      <c r="K828" s="15" t="s">
        <v>198</v>
      </c>
    </row>
    <row r="829">
      <c r="B829" s="15"/>
      <c r="C829" s="15"/>
      <c r="K829" s="15" t="s">
        <v>198</v>
      </c>
    </row>
    <row r="830">
      <c r="B830" s="15"/>
      <c r="C830" s="15"/>
      <c r="K830" s="15" t="s">
        <v>198</v>
      </c>
    </row>
    <row r="831">
      <c r="B831" s="15"/>
      <c r="C831" s="15"/>
      <c r="K831" s="15" t="s">
        <v>198</v>
      </c>
    </row>
    <row r="832">
      <c r="B832" s="15"/>
      <c r="C832" s="15"/>
      <c r="K832" s="15" t="s">
        <v>198</v>
      </c>
    </row>
    <row r="833">
      <c r="B833" s="15"/>
      <c r="C833" s="15"/>
      <c r="K833" s="15" t="s">
        <v>198</v>
      </c>
    </row>
    <row r="834">
      <c r="B834" s="15"/>
      <c r="C834" s="15"/>
      <c r="K834" s="15" t="s">
        <v>198</v>
      </c>
    </row>
    <row r="835">
      <c r="B835" s="15"/>
      <c r="C835" s="15"/>
      <c r="K835" s="15" t="s">
        <v>198</v>
      </c>
    </row>
    <row r="836">
      <c r="B836" s="15"/>
      <c r="C836" s="15"/>
      <c r="K836" s="15" t="s">
        <v>198</v>
      </c>
    </row>
    <row r="837">
      <c r="B837" s="15"/>
      <c r="C837" s="15"/>
      <c r="K837" s="15" t="s">
        <v>198</v>
      </c>
    </row>
    <row r="838">
      <c r="B838" s="15"/>
      <c r="C838" s="15"/>
      <c r="K838" s="15" t="s">
        <v>198</v>
      </c>
    </row>
    <row r="839">
      <c r="B839" s="15"/>
      <c r="C839" s="15"/>
      <c r="K839" s="15" t="s">
        <v>198</v>
      </c>
    </row>
    <row r="840">
      <c r="B840" s="15"/>
      <c r="C840" s="15"/>
      <c r="K840" s="15" t="s">
        <v>198</v>
      </c>
    </row>
    <row r="841">
      <c r="B841" s="15"/>
      <c r="C841" s="15"/>
      <c r="K841" s="15" t="s">
        <v>198</v>
      </c>
    </row>
    <row r="842">
      <c r="B842" s="15"/>
      <c r="C842" s="15"/>
      <c r="K842" s="15" t="s">
        <v>198</v>
      </c>
    </row>
    <row r="843">
      <c r="B843" s="15"/>
      <c r="C843" s="15"/>
      <c r="K843" s="15" t="s">
        <v>198</v>
      </c>
    </row>
    <row r="844">
      <c r="B844" s="15"/>
      <c r="C844" s="15"/>
      <c r="K844" s="15" t="s">
        <v>198</v>
      </c>
    </row>
    <row r="845">
      <c r="B845" s="15"/>
      <c r="C845" s="15"/>
      <c r="K845" s="15" t="s">
        <v>198</v>
      </c>
    </row>
    <row r="846">
      <c r="B846" s="15"/>
      <c r="C846" s="15"/>
      <c r="K846" s="15" t="s">
        <v>198</v>
      </c>
    </row>
    <row r="847">
      <c r="B847" s="15"/>
      <c r="C847" s="15"/>
      <c r="K847" s="15" t="s">
        <v>198</v>
      </c>
    </row>
    <row r="848">
      <c r="B848" s="15"/>
      <c r="C848" s="15"/>
      <c r="K848" s="15" t="s">
        <v>198</v>
      </c>
    </row>
    <row r="849">
      <c r="B849" s="15"/>
      <c r="C849" s="15"/>
      <c r="K849" s="15" t="s">
        <v>198</v>
      </c>
    </row>
    <row r="850">
      <c r="B850" s="15"/>
      <c r="C850" s="15"/>
      <c r="K850" s="15" t="s">
        <v>198</v>
      </c>
    </row>
    <row r="851">
      <c r="B851" s="15"/>
      <c r="C851" s="15"/>
      <c r="K851" s="15" t="s">
        <v>198</v>
      </c>
    </row>
    <row r="852">
      <c r="B852" s="15"/>
      <c r="C852" s="15"/>
      <c r="K852" s="15" t="s">
        <v>198</v>
      </c>
    </row>
    <row r="853">
      <c r="B853" s="15"/>
      <c r="C853" s="15"/>
      <c r="K853" s="15" t="s">
        <v>198</v>
      </c>
    </row>
    <row r="854">
      <c r="B854" s="15"/>
      <c r="C854" s="15"/>
      <c r="K854" s="15" t="s">
        <v>198</v>
      </c>
    </row>
    <row r="855">
      <c r="B855" s="15"/>
      <c r="C855" s="15"/>
      <c r="K855" s="15" t="s">
        <v>198</v>
      </c>
    </row>
    <row r="856">
      <c r="B856" s="15"/>
      <c r="C856" s="15"/>
      <c r="K856" s="15" t="s">
        <v>198</v>
      </c>
    </row>
    <row r="857">
      <c r="B857" s="15"/>
      <c r="C857" s="15"/>
      <c r="K857" s="15" t="s">
        <v>198</v>
      </c>
    </row>
    <row r="858">
      <c r="B858" s="15"/>
      <c r="C858" s="15"/>
      <c r="K858" s="15" t="s">
        <v>198</v>
      </c>
    </row>
    <row r="859">
      <c r="B859" s="15"/>
      <c r="C859" s="15"/>
      <c r="K859" s="15" t="s">
        <v>198</v>
      </c>
    </row>
    <row r="860">
      <c r="B860" s="15"/>
      <c r="C860" s="15"/>
      <c r="K860" s="15" t="s">
        <v>198</v>
      </c>
    </row>
    <row r="861">
      <c r="B861" s="15"/>
      <c r="C861" s="15"/>
      <c r="K861" s="15" t="s">
        <v>198</v>
      </c>
    </row>
    <row r="862">
      <c r="B862" s="15"/>
      <c r="C862" s="15"/>
      <c r="K862" s="15" t="s">
        <v>198</v>
      </c>
    </row>
    <row r="863">
      <c r="B863" s="15"/>
      <c r="C863" s="15"/>
      <c r="K863" s="15" t="s">
        <v>198</v>
      </c>
    </row>
    <row r="864">
      <c r="B864" s="15"/>
      <c r="C864" s="15"/>
      <c r="K864" s="15" t="s">
        <v>198</v>
      </c>
    </row>
    <row r="865">
      <c r="B865" s="15"/>
      <c r="C865" s="15"/>
      <c r="K865" s="15" t="s">
        <v>198</v>
      </c>
    </row>
    <row r="866">
      <c r="B866" s="15"/>
      <c r="C866" s="15"/>
      <c r="K866" s="15" t="s">
        <v>198</v>
      </c>
    </row>
    <row r="867">
      <c r="B867" s="15"/>
      <c r="C867" s="15"/>
      <c r="K867" s="15" t="s">
        <v>198</v>
      </c>
    </row>
    <row r="868">
      <c r="B868" s="15"/>
      <c r="C868" s="15"/>
      <c r="K868" s="15" t="s">
        <v>198</v>
      </c>
    </row>
    <row r="869">
      <c r="B869" s="15"/>
      <c r="C869" s="15"/>
      <c r="K869" s="15" t="s">
        <v>198</v>
      </c>
    </row>
    <row r="870">
      <c r="B870" s="15"/>
      <c r="C870" s="15"/>
      <c r="K870" s="15" t="s">
        <v>198</v>
      </c>
    </row>
    <row r="871">
      <c r="B871" s="15"/>
      <c r="C871" s="15"/>
      <c r="K871" s="15" t="s">
        <v>198</v>
      </c>
    </row>
    <row r="872">
      <c r="B872" s="15"/>
      <c r="C872" s="15"/>
      <c r="K872" s="15" t="s">
        <v>198</v>
      </c>
    </row>
    <row r="873">
      <c r="B873" s="15"/>
      <c r="C873" s="15"/>
      <c r="K873" s="15" t="s">
        <v>198</v>
      </c>
    </row>
    <row r="874">
      <c r="B874" s="15"/>
      <c r="C874" s="15"/>
      <c r="K874" s="15" t="s">
        <v>198</v>
      </c>
    </row>
    <row r="875">
      <c r="B875" s="15"/>
      <c r="C875" s="15"/>
      <c r="K875" s="15" t="s">
        <v>198</v>
      </c>
    </row>
    <row r="876">
      <c r="B876" s="15"/>
      <c r="C876" s="15"/>
      <c r="K876" s="15" t="s">
        <v>198</v>
      </c>
    </row>
    <row r="877">
      <c r="B877" s="15"/>
      <c r="C877" s="15"/>
      <c r="K877" s="15" t="s">
        <v>198</v>
      </c>
    </row>
    <row r="878">
      <c r="B878" s="15"/>
      <c r="C878" s="15"/>
      <c r="K878" s="15" t="s">
        <v>198</v>
      </c>
    </row>
    <row r="879">
      <c r="B879" s="15"/>
      <c r="C879" s="15"/>
      <c r="K879" s="15" t="s">
        <v>198</v>
      </c>
    </row>
    <row r="880">
      <c r="B880" s="15"/>
      <c r="C880" s="15"/>
      <c r="K880" s="15" t="s">
        <v>198</v>
      </c>
    </row>
    <row r="881">
      <c r="B881" s="15"/>
      <c r="C881" s="15"/>
      <c r="K881" s="15" t="s">
        <v>198</v>
      </c>
    </row>
    <row r="882">
      <c r="B882" s="15"/>
      <c r="C882" s="15"/>
      <c r="K882" s="15" t="s">
        <v>198</v>
      </c>
    </row>
    <row r="883">
      <c r="B883" s="15"/>
      <c r="C883" s="15"/>
      <c r="K883" s="15" t="s">
        <v>198</v>
      </c>
    </row>
    <row r="884">
      <c r="B884" s="15"/>
      <c r="C884" s="15"/>
      <c r="K884" s="15" t="s">
        <v>198</v>
      </c>
    </row>
    <row r="885">
      <c r="B885" s="15"/>
      <c r="C885" s="15"/>
      <c r="K885" s="15" t="s">
        <v>198</v>
      </c>
    </row>
    <row r="886">
      <c r="B886" s="15"/>
      <c r="C886" s="15"/>
      <c r="K886" s="15" t="s">
        <v>198</v>
      </c>
    </row>
    <row r="887">
      <c r="B887" s="15"/>
      <c r="C887" s="15"/>
      <c r="K887" s="15" t="s">
        <v>198</v>
      </c>
    </row>
    <row r="888">
      <c r="B888" s="15"/>
      <c r="C888" s="15"/>
      <c r="K888" s="15" t="s">
        <v>198</v>
      </c>
    </row>
    <row r="889">
      <c r="B889" s="15"/>
      <c r="C889" s="15"/>
      <c r="K889" s="15" t="s">
        <v>198</v>
      </c>
    </row>
    <row r="890">
      <c r="B890" s="15"/>
      <c r="C890" s="15"/>
      <c r="K890" s="15" t="s">
        <v>198</v>
      </c>
    </row>
    <row r="891">
      <c r="B891" s="15"/>
      <c r="C891" s="15"/>
      <c r="K891" s="15" t="s">
        <v>198</v>
      </c>
    </row>
    <row r="892">
      <c r="B892" s="15"/>
      <c r="C892" s="15"/>
      <c r="K892" s="15" t="s">
        <v>198</v>
      </c>
    </row>
    <row r="893">
      <c r="B893" s="15"/>
      <c r="C893" s="15"/>
      <c r="K893" s="15" t="s">
        <v>198</v>
      </c>
    </row>
    <row r="894">
      <c r="B894" s="15"/>
      <c r="C894" s="15"/>
      <c r="K894" s="15" t="s">
        <v>198</v>
      </c>
    </row>
    <row r="895">
      <c r="B895" s="15"/>
      <c r="C895" s="15"/>
      <c r="K895" s="15" t="s">
        <v>198</v>
      </c>
    </row>
    <row r="896">
      <c r="B896" s="15"/>
      <c r="C896" s="15"/>
      <c r="K896" s="15" t="s">
        <v>198</v>
      </c>
    </row>
    <row r="897">
      <c r="B897" s="15"/>
      <c r="C897" s="15"/>
      <c r="K897" s="15" t="s">
        <v>198</v>
      </c>
    </row>
    <row r="898">
      <c r="B898" s="15"/>
      <c r="C898" s="15"/>
      <c r="K898" s="15" t="s">
        <v>198</v>
      </c>
    </row>
    <row r="899">
      <c r="B899" s="15"/>
      <c r="C899" s="15"/>
      <c r="K899" s="15" t="s">
        <v>198</v>
      </c>
    </row>
    <row r="900">
      <c r="B900" s="15"/>
      <c r="C900" s="15"/>
      <c r="K900" s="15" t="s">
        <v>198</v>
      </c>
    </row>
    <row r="901">
      <c r="B901" s="15"/>
      <c r="C901" s="15"/>
      <c r="K901" s="15" t="s">
        <v>198</v>
      </c>
    </row>
    <row r="902">
      <c r="B902" s="15"/>
      <c r="C902" s="15"/>
      <c r="K902" s="15" t="s">
        <v>198</v>
      </c>
    </row>
    <row r="903">
      <c r="B903" s="15"/>
      <c r="C903" s="15"/>
      <c r="K903" s="15" t="s">
        <v>198</v>
      </c>
    </row>
    <row r="904">
      <c r="B904" s="15"/>
      <c r="C904" s="15"/>
      <c r="K904" s="15" t="s">
        <v>198</v>
      </c>
    </row>
    <row r="905">
      <c r="B905" s="15"/>
      <c r="C905" s="15"/>
      <c r="K905" s="15" t="s">
        <v>198</v>
      </c>
    </row>
    <row r="906">
      <c r="B906" s="15"/>
      <c r="C906" s="15"/>
      <c r="K906" s="15" t="s">
        <v>198</v>
      </c>
    </row>
    <row r="907">
      <c r="B907" s="15"/>
      <c r="C907" s="15"/>
      <c r="K907" s="15" t="s">
        <v>198</v>
      </c>
    </row>
    <row r="908">
      <c r="B908" s="15"/>
      <c r="C908" s="15"/>
      <c r="K908" s="15" t="s">
        <v>198</v>
      </c>
    </row>
    <row r="909">
      <c r="B909" s="15"/>
      <c r="C909" s="15"/>
      <c r="K909" s="15" t="s">
        <v>198</v>
      </c>
    </row>
    <row r="910">
      <c r="B910" s="15"/>
      <c r="C910" s="15"/>
      <c r="K910" s="15" t="s">
        <v>198</v>
      </c>
    </row>
    <row r="911">
      <c r="B911" s="15"/>
      <c r="C911" s="15"/>
      <c r="K911" s="15" t="s">
        <v>198</v>
      </c>
    </row>
    <row r="912">
      <c r="B912" s="15"/>
      <c r="C912" s="15"/>
      <c r="K912" s="15" t="s">
        <v>198</v>
      </c>
    </row>
    <row r="913">
      <c r="B913" s="15"/>
      <c r="C913" s="15"/>
      <c r="K913" s="15" t="s">
        <v>198</v>
      </c>
    </row>
    <row r="914">
      <c r="B914" s="15"/>
      <c r="C914" s="15"/>
      <c r="K914" s="15" t="s">
        <v>198</v>
      </c>
    </row>
    <row r="915">
      <c r="B915" s="15"/>
      <c r="C915" s="15"/>
      <c r="K915" s="15" t="s">
        <v>198</v>
      </c>
    </row>
    <row r="916">
      <c r="B916" s="15"/>
      <c r="C916" s="15"/>
      <c r="K916" s="15" t="s">
        <v>198</v>
      </c>
    </row>
    <row r="917">
      <c r="B917" s="15"/>
      <c r="C917" s="15"/>
      <c r="K917" s="15" t="s">
        <v>198</v>
      </c>
    </row>
    <row r="918">
      <c r="B918" s="15"/>
      <c r="C918" s="15"/>
      <c r="K918" s="15" t="s">
        <v>198</v>
      </c>
    </row>
    <row r="919">
      <c r="B919" s="15"/>
      <c r="C919" s="15"/>
      <c r="K919" s="15" t="s">
        <v>198</v>
      </c>
    </row>
    <row r="920">
      <c r="B920" s="15"/>
      <c r="C920" s="15"/>
      <c r="K920" s="15" t="s">
        <v>198</v>
      </c>
    </row>
    <row r="921">
      <c r="B921" s="15"/>
      <c r="C921" s="15"/>
      <c r="K921" s="15" t="s">
        <v>198</v>
      </c>
    </row>
    <row r="922">
      <c r="B922" s="15"/>
      <c r="C922" s="15"/>
      <c r="K922" s="15" t="s">
        <v>198</v>
      </c>
    </row>
    <row r="923">
      <c r="B923" s="15"/>
      <c r="C923" s="15"/>
      <c r="K923" s="15" t="s">
        <v>198</v>
      </c>
    </row>
    <row r="924">
      <c r="B924" s="15"/>
      <c r="C924" s="15"/>
      <c r="K924" s="15" t="s">
        <v>198</v>
      </c>
    </row>
    <row r="925">
      <c r="B925" s="15"/>
      <c r="C925" s="15"/>
      <c r="K925" s="15" t="s">
        <v>198</v>
      </c>
    </row>
    <row r="926">
      <c r="B926" s="15"/>
      <c r="C926" s="15"/>
      <c r="K926" s="15" t="s">
        <v>198</v>
      </c>
    </row>
    <row r="927">
      <c r="B927" s="15"/>
      <c r="C927" s="15"/>
      <c r="K927" s="15" t="s">
        <v>198</v>
      </c>
    </row>
    <row r="928">
      <c r="B928" s="15"/>
      <c r="C928" s="15"/>
      <c r="K928" s="15" t="s">
        <v>198</v>
      </c>
    </row>
    <row r="929">
      <c r="B929" s="15"/>
      <c r="C929" s="15"/>
      <c r="K929" s="15" t="s">
        <v>198</v>
      </c>
    </row>
    <row r="930">
      <c r="B930" s="15"/>
      <c r="C930" s="15"/>
      <c r="K930" s="15" t="s">
        <v>198</v>
      </c>
    </row>
    <row r="931">
      <c r="B931" s="15"/>
      <c r="C931" s="15"/>
      <c r="K931" s="15" t="s">
        <v>198</v>
      </c>
    </row>
    <row r="932">
      <c r="B932" s="15"/>
      <c r="C932" s="15"/>
      <c r="K932" s="15" t="s">
        <v>198</v>
      </c>
    </row>
    <row r="933">
      <c r="B933" s="15"/>
      <c r="C933" s="15"/>
      <c r="K933" s="15" t="s">
        <v>198</v>
      </c>
    </row>
    <row r="934">
      <c r="B934" s="15"/>
      <c r="C934" s="15"/>
      <c r="K934" s="15" t="s">
        <v>198</v>
      </c>
    </row>
    <row r="935">
      <c r="B935" s="15"/>
      <c r="C935" s="15"/>
      <c r="K935" s="15" t="s">
        <v>198</v>
      </c>
    </row>
    <row r="936">
      <c r="B936" s="15"/>
      <c r="C936" s="15"/>
      <c r="K936" s="15" t="s">
        <v>198</v>
      </c>
    </row>
    <row r="937">
      <c r="B937" s="15"/>
      <c r="C937" s="15"/>
      <c r="K937" s="15" t="s">
        <v>198</v>
      </c>
    </row>
    <row r="938">
      <c r="B938" s="15"/>
      <c r="C938" s="15"/>
      <c r="K938" s="15" t="s">
        <v>198</v>
      </c>
    </row>
    <row r="939">
      <c r="B939" s="15"/>
      <c r="C939" s="15"/>
      <c r="K939" s="15" t="s">
        <v>198</v>
      </c>
    </row>
    <row r="940">
      <c r="B940" s="15"/>
      <c r="C940" s="15"/>
      <c r="K940" s="15" t="s">
        <v>198</v>
      </c>
    </row>
    <row r="941">
      <c r="B941" s="15"/>
      <c r="C941" s="15"/>
      <c r="K941" s="15" t="s">
        <v>198</v>
      </c>
    </row>
    <row r="942">
      <c r="B942" s="15"/>
      <c r="C942" s="15"/>
      <c r="K942" s="15" t="s">
        <v>198</v>
      </c>
    </row>
    <row r="943">
      <c r="B943" s="15"/>
      <c r="C943" s="15"/>
      <c r="K943" s="15" t="s">
        <v>198</v>
      </c>
    </row>
    <row r="944">
      <c r="B944" s="15"/>
      <c r="C944" s="15"/>
      <c r="K944" s="15" t="s">
        <v>198</v>
      </c>
    </row>
    <row r="945">
      <c r="B945" s="15"/>
      <c r="C945" s="15"/>
      <c r="K945" s="15" t="s">
        <v>198</v>
      </c>
    </row>
    <row r="946">
      <c r="B946" s="15"/>
      <c r="C946" s="15"/>
      <c r="K946" s="15" t="s">
        <v>198</v>
      </c>
    </row>
    <row r="947">
      <c r="B947" s="15"/>
      <c r="C947" s="15"/>
      <c r="K947" s="15" t="s">
        <v>198</v>
      </c>
    </row>
    <row r="948">
      <c r="B948" s="15"/>
      <c r="C948" s="15"/>
      <c r="K948" s="15" t="s">
        <v>198</v>
      </c>
    </row>
    <row r="949">
      <c r="B949" s="15"/>
      <c r="C949" s="15"/>
      <c r="K949" s="15" t="s">
        <v>198</v>
      </c>
    </row>
    <row r="950">
      <c r="B950" s="15"/>
      <c r="C950" s="15"/>
      <c r="K950" s="15" t="s">
        <v>198</v>
      </c>
    </row>
    <row r="951">
      <c r="B951" s="15"/>
      <c r="C951" s="15"/>
      <c r="K951" s="15" t="s">
        <v>198</v>
      </c>
    </row>
    <row r="952">
      <c r="B952" s="15"/>
      <c r="C952" s="15"/>
      <c r="K952" s="15" t="s">
        <v>198</v>
      </c>
    </row>
    <row r="953">
      <c r="B953" s="15"/>
      <c r="C953" s="15"/>
      <c r="K953" s="15" t="s">
        <v>198</v>
      </c>
    </row>
    <row r="954">
      <c r="B954" s="15"/>
      <c r="C954" s="15"/>
      <c r="K954" s="15" t="s">
        <v>198</v>
      </c>
    </row>
    <row r="955">
      <c r="B955" s="15"/>
      <c r="C955" s="15"/>
      <c r="K955" s="15" t="s">
        <v>198</v>
      </c>
    </row>
    <row r="956">
      <c r="B956" s="15"/>
      <c r="C956" s="15"/>
      <c r="K956" s="15" t="s">
        <v>198</v>
      </c>
    </row>
    <row r="957">
      <c r="B957" s="15"/>
      <c r="C957" s="15"/>
      <c r="K957" s="15" t="s">
        <v>198</v>
      </c>
    </row>
    <row r="958">
      <c r="B958" s="15"/>
      <c r="C958" s="15"/>
      <c r="K958" s="15" t="s">
        <v>198</v>
      </c>
    </row>
    <row r="959">
      <c r="B959" s="15"/>
      <c r="C959" s="15"/>
      <c r="K959" s="15" t="s">
        <v>198</v>
      </c>
    </row>
    <row r="960">
      <c r="B960" s="15"/>
      <c r="C960" s="15"/>
      <c r="K960" s="15" t="s">
        <v>198</v>
      </c>
    </row>
    <row r="961">
      <c r="B961" s="15"/>
      <c r="C961" s="15"/>
      <c r="K961" s="15" t="s">
        <v>198</v>
      </c>
    </row>
    <row r="962">
      <c r="B962" s="15"/>
      <c r="C962" s="15"/>
      <c r="K962" s="15" t="s">
        <v>198</v>
      </c>
    </row>
    <row r="963">
      <c r="B963" s="15"/>
      <c r="C963" s="15"/>
      <c r="K963" s="15" t="s">
        <v>198</v>
      </c>
    </row>
    <row r="964">
      <c r="B964" s="15"/>
      <c r="C964" s="15"/>
      <c r="K964" s="15" t="s">
        <v>198</v>
      </c>
    </row>
    <row r="965">
      <c r="B965" s="15"/>
      <c r="C965" s="15"/>
      <c r="K965" s="15" t="s">
        <v>198</v>
      </c>
    </row>
    <row r="966">
      <c r="B966" s="15"/>
      <c r="C966" s="15"/>
      <c r="K966" s="15" t="s">
        <v>198</v>
      </c>
    </row>
    <row r="967">
      <c r="B967" s="15"/>
      <c r="C967" s="15"/>
      <c r="K967" s="15" t="s">
        <v>198</v>
      </c>
    </row>
    <row r="968">
      <c r="B968" s="15"/>
      <c r="C968" s="15"/>
      <c r="K968" s="15" t="s">
        <v>198</v>
      </c>
    </row>
    <row r="969">
      <c r="B969" s="15"/>
      <c r="C969" s="15"/>
      <c r="K969" s="15" t="s">
        <v>198</v>
      </c>
    </row>
    <row r="970">
      <c r="B970" s="15"/>
      <c r="C970" s="15"/>
      <c r="K970" s="15" t="s">
        <v>198</v>
      </c>
    </row>
    <row r="971">
      <c r="B971" s="15"/>
      <c r="C971" s="15"/>
      <c r="K971" s="15" t="s">
        <v>198</v>
      </c>
    </row>
    <row r="972">
      <c r="B972" s="15"/>
      <c r="C972" s="15"/>
      <c r="K972" s="15" t="s">
        <v>198</v>
      </c>
    </row>
    <row r="973">
      <c r="B973" s="15"/>
      <c r="C973" s="15"/>
      <c r="K973" s="15" t="s">
        <v>198</v>
      </c>
    </row>
    <row r="974">
      <c r="B974" s="15"/>
      <c r="C974" s="15"/>
      <c r="K974" s="15" t="s">
        <v>198</v>
      </c>
    </row>
    <row r="975">
      <c r="B975" s="15"/>
      <c r="C975" s="15"/>
      <c r="K975" s="15" t="s">
        <v>198</v>
      </c>
    </row>
    <row r="976">
      <c r="B976" s="15"/>
      <c r="C976" s="15"/>
      <c r="K976" s="15" t="s">
        <v>198</v>
      </c>
    </row>
    <row r="977">
      <c r="B977" s="15"/>
      <c r="C977" s="15"/>
      <c r="K977" s="15" t="s">
        <v>198</v>
      </c>
    </row>
    <row r="978">
      <c r="B978" s="15"/>
      <c r="C978" s="15"/>
      <c r="K978" s="15" t="s">
        <v>198</v>
      </c>
    </row>
    <row r="979">
      <c r="B979" s="15"/>
      <c r="C979" s="15"/>
      <c r="K979" s="15" t="s">
        <v>198</v>
      </c>
    </row>
    <row r="980">
      <c r="B980" s="15"/>
      <c r="C980" s="15"/>
      <c r="K980" s="15" t="s">
        <v>198</v>
      </c>
    </row>
    <row r="981">
      <c r="B981" s="15"/>
      <c r="C981" s="15"/>
      <c r="K981" s="15" t="s">
        <v>198</v>
      </c>
    </row>
    <row r="982">
      <c r="B982" s="15"/>
      <c r="C982" s="15"/>
      <c r="K982" s="15" t="s">
        <v>198</v>
      </c>
    </row>
    <row r="983">
      <c r="B983" s="15"/>
      <c r="C983" s="15"/>
      <c r="K983" s="15" t="s">
        <v>198</v>
      </c>
    </row>
    <row r="984">
      <c r="B984" s="15"/>
      <c r="C984" s="15"/>
      <c r="K984" s="15" t="s">
        <v>198</v>
      </c>
    </row>
    <row r="985">
      <c r="B985" s="15"/>
      <c r="C985" s="15"/>
      <c r="K985" s="15" t="s">
        <v>198</v>
      </c>
    </row>
    <row r="986">
      <c r="B986" s="15"/>
      <c r="C986" s="15"/>
      <c r="K986" s="15" t="s">
        <v>198</v>
      </c>
    </row>
    <row r="987">
      <c r="B987" s="15"/>
      <c r="C987" s="15"/>
      <c r="K987" s="15" t="s">
        <v>198</v>
      </c>
    </row>
    <row r="988">
      <c r="B988" s="15"/>
      <c r="C988" s="15"/>
      <c r="K988" s="15" t="s">
        <v>198</v>
      </c>
    </row>
    <row r="989">
      <c r="B989" s="15"/>
      <c r="C989" s="15"/>
      <c r="K989" s="15" t="s">
        <v>198</v>
      </c>
    </row>
    <row r="990">
      <c r="B990" s="15"/>
      <c r="C990" s="15"/>
      <c r="K990" s="15" t="s">
        <v>198</v>
      </c>
    </row>
    <row r="991">
      <c r="B991" s="15"/>
      <c r="C991" s="15"/>
      <c r="K991" s="15" t="s">
        <v>198</v>
      </c>
    </row>
    <row r="992">
      <c r="B992" s="15"/>
      <c r="C992" s="15"/>
      <c r="K992" s="15" t="s">
        <v>198</v>
      </c>
    </row>
    <row r="993">
      <c r="B993" s="15"/>
      <c r="C993" s="15"/>
      <c r="K993" s="15" t="s">
        <v>198</v>
      </c>
    </row>
    <row r="994">
      <c r="B994" s="15"/>
      <c r="C994" s="15"/>
      <c r="K994" s="15" t="s">
        <v>198</v>
      </c>
    </row>
    <row r="995">
      <c r="B995" s="15"/>
      <c r="C995" s="15"/>
      <c r="K995" s="15" t="s">
        <v>198</v>
      </c>
    </row>
    <row r="996">
      <c r="B996" s="15"/>
      <c r="C996" s="15"/>
      <c r="K996" s="15" t="s">
        <v>198</v>
      </c>
    </row>
    <row r="997">
      <c r="B997" s="15"/>
      <c r="C997" s="15"/>
      <c r="K997" s="15" t="s">
        <v>198</v>
      </c>
    </row>
    <row r="998">
      <c r="B998" s="15"/>
      <c r="C998" s="15"/>
      <c r="K998" s="15" t="s">
        <v>198</v>
      </c>
    </row>
    <row r="999">
      <c r="B999" s="15"/>
      <c r="C999" s="15"/>
      <c r="K999" s="15" t="s">
        <v>198</v>
      </c>
    </row>
    <row r="1000">
      <c r="B1000" s="15"/>
      <c r="C1000" s="15"/>
      <c r="K1000" s="15" t="s">
        <v>198</v>
      </c>
    </row>
  </sheetData>
  <dataValidations>
    <dataValidation type="list" allowBlank="1" showErrorMessage="1" sqref="F2:F14">
      <formula1>"EXTERN_MARCA_FABRICANT,EXTERN_SERVEI_TECNIC,INTERN_EMP032 (Eduard Civit de manteniment),INTERN_EMP030 (Francesc Morera IT),INTERN_EMP015 (Marc Solà IT),INTERN_EMP005 (David Martín IT)"</formula1>
    </dataValidation>
    <dataValidation type="list" allowBlank="1" showErrorMessage="1" sqref="J2:J14">
      <formula1>"PENDENT_ASSIGNAR,PENDENT_APROVACIO_COST,EN_DIAGNOSTIC,ESPERANT_PECES,EN_REPARACIO,REPARACIO_GARANTIA,PROVES_FINALS,FINALITZADA,IRREPARABLE,COST_EXCESSIU,CANCEL_LADA"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1.75"/>
    <col customWidth="1" min="3" max="3" width="11.88"/>
    <col customWidth="1" min="4" max="4" width="6.63"/>
    <col customWidth="1" min="18" max="18" width="3.63"/>
  </cols>
  <sheetData>
    <row r="2">
      <c r="A2" s="30" t="s">
        <v>199</v>
      </c>
      <c r="B2" s="31" t="s">
        <v>200</v>
      </c>
      <c r="C2" s="32">
        <f>COUNTA(inventari!A:A) - 1</f>
        <v>92</v>
      </c>
      <c r="L2" s="33" t="s">
        <v>201</v>
      </c>
      <c r="Q2" s="33" t="s">
        <v>202</v>
      </c>
      <c r="R2" s="33" t="s">
        <v>203</v>
      </c>
    </row>
    <row r="3">
      <c r="B3" s="31" t="s">
        <v>204</v>
      </c>
      <c r="C3" s="32">
        <f>COUNTIF(inventari!G:G, "Disponible")
</f>
        <v>43</v>
      </c>
      <c r="L3" s="34"/>
      <c r="M3" s="34"/>
      <c r="N3" s="34"/>
      <c r="O3" s="34"/>
      <c r="P3" s="34"/>
      <c r="Q3" s="34"/>
      <c r="R3" s="34"/>
    </row>
    <row r="4">
      <c r="B4" s="31" t="s">
        <v>205</v>
      </c>
      <c r="C4" s="32">
        <f>COUNTIF(inventari!G:G, "En_Prestec")
</f>
        <v>15</v>
      </c>
      <c r="L4" s="34"/>
      <c r="M4" s="34"/>
      <c r="N4" s="34"/>
      <c r="O4" s="34"/>
      <c r="P4" s="34"/>
      <c r="Q4" s="34"/>
      <c r="R4" s="34"/>
    </row>
    <row r="5">
      <c r="B5" s="31" t="s">
        <v>206</v>
      </c>
      <c r="C5" s="32">
        <f>COUNTIF(inventari!G:G, "Avariat")
</f>
        <v>7</v>
      </c>
      <c r="I5" s="35"/>
      <c r="J5" s="36"/>
      <c r="L5" s="34"/>
      <c r="M5" s="34"/>
      <c r="N5" s="34"/>
      <c r="O5" s="34"/>
      <c r="P5" s="34"/>
      <c r="Q5" s="34"/>
      <c r="R5" s="34"/>
    </row>
    <row r="6">
      <c r="B6" s="31" t="s">
        <v>207</v>
      </c>
      <c r="C6" s="32">
        <f>COUNTIF(inventari!G:G, "Manteniment")
</f>
        <v>27</v>
      </c>
      <c r="L6" s="34"/>
      <c r="M6" s="34"/>
      <c r="N6" s="34"/>
      <c r="O6" s="34"/>
      <c r="P6" s="34"/>
      <c r="Q6" s="34"/>
      <c r="R6" s="34"/>
    </row>
    <row r="7">
      <c r="B7" s="31" t="s">
        <v>208</v>
      </c>
      <c r="C7" s="32">
        <f>COUNTIF(inventari!G:G, "Retirats")
</f>
        <v>0</v>
      </c>
      <c r="L7" s="34"/>
      <c r="M7" s="34"/>
      <c r="N7" s="34"/>
      <c r="O7" s="34"/>
      <c r="P7" s="34"/>
      <c r="Q7" s="34"/>
      <c r="R7" s="34"/>
    </row>
    <row r="8">
      <c r="B8" s="31" t="s">
        <v>209</v>
      </c>
      <c r="C8" s="32">
        <f>COUNTIF(inventari!F:F, "Si")
</f>
        <v>58</v>
      </c>
      <c r="L8" s="34"/>
      <c r="M8" s="34"/>
      <c r="N8" s="34"/>
      <c r="O8" s="34"/>
      <c r="P8" s="34"/>
      <c r="Q8" s="34"/>
      <c r="R8" s="34"/>
    </row>
    <row r="9">
      <c r="B9" s="31" t="s">
        <v>210</v>
      </c>
      <c r="C9" s="32">
        <f>COUNTIF(inventari!F:F, "No")
</f>
        <v>34</v>
      </c>
      <c r="L9" s="34"/>
      <c r="M9" s="34"/>
      <c r="N9" s="34"/>
      <c r="O9" s="34"/>
      <c r="P9" s="34"/>
      <c r="Q9" s="34"/>
      <c r="R9" s="34"/>
    </row>
    <row r="10">
      <c r="L10" s="34"/>
      <c r="M10" s="34"/>
      <c r="N10" s="34"/>
      <c r="O10" s="34"/>
      <c r="P10" s="34"/>
      <c r="Q10" s="34"/>
      <c r="R10" s="34"/>
    </row>
    <row r="11">
      <c r="A11" s="37" t="s">
        <v>211</v>
      </c>
      <c r="B11" s="38" t="s">
        <v>212</v>
      </c>
      <c r="C11" s="34">
        <f>COUNTIF(inventari!G:G, "En_Prestec")
</f>
        <v>15</v>
      </c>
      <c r="L11" s="34"/>
      <c r="M11" s="34"/>
      <c r="N11" s="34"/>
      <c r="O11" s="34"/>
      <c r="P11" s="34"/>
      <c r="Q11" s="34"/>
      <c r="R11" s="34"/>
    </row>
    <row r="12">
      <c r="B12" s="38" t="s">
        <v>213</v>
      </c>
      <c r="C12" s="34">
        <f>COUNTIF(APROVACIONS_AUTO!H:H, "SENSE_EQUIPS")
</f>
        <v>16</v>
      </c>
      <c r="L12" s="34"/>
      <c r="M12" s="34"/>
      <c r="N12" s="34"/>
      <c r="O12" s="34"/>
      <c r="P12" s="34"/>
      <c r="Q12" s="34"/>
      <c r="R12" s="34"/>
    </row>
    <row r="13">
      <c r="B13" s="38" t="s">
        <v>214</v>
      </c>
      <c r="C13" s="34">
        <f>COUNTIF(APROVACIONS_AUTO!H:H, "APROVAT_AUTO")
</f>
        <v>14</v>
      </c>
      <c r="L13" s="34"/>
      <c r="M13" s="34"/>
      <c r="N13" s="34"/>
      <c r="O13" s="34"/>
      <c r="P13" s="34"/>
      <c r="Q13" s="34"/>
      <c r="R13" s="34"/>
    </row>
    <row r="14">
      <c r="B14" s="38" t="s">
        <v>215</v>
      </c>
      <c r="C14" s="34"/>
      <c r="L14" s="34"/>
      <c r="M14" s="34"/>
      <c r="N14" s="34"/>
      <c r="O14" s="34"/>
      <c r="P14" s="34"/>
      <c r="Q14" s="34"/>
      <c r="R14" s="34"/>
    </row>
    <row r="15">
      <c r="B15" s="38" t="s">
        <v>216</v>
      </c>
      <c r="C15" s="34"/>
      <c r="L15" s="34"/>
      <c r="M15" s="34"/>
      <c r="N15" s="34"/>
      <c r="O15" s="34"/>
      <c r="P15" s="34"/>
      <c r="Q15" s="34"/>
      <c r="R15" s="34"/>
    </row>
    <row r="16">
      <c r="B16" s="38" t="s">
        <v>217</v>
      </c>
      <c r="C16" s="34"/>
      <c r="L16" s="34"/>
      <c r="M16" s="34"/>
      <c r="N16" s="34"/>
      <c r="O16" s="34"/>
      <c r="P16" s="34"/>
      <c r="Q16" s="34"/>
      <c r="R16" s="34"/>
    </row>
    <row r="17">
      <c r="L17" s="34"/>
      <c r="M17" s="34"/>
      <c r="N17" s="34"/>
      <c r="O17" s="34"/>
      <c r="P17" s="34"/>
      <c r="Q17" s="34"/>
      <c r="R17" s="34"/>
    </row>
    <row r="18">
      <c r="A18" s="39" t="s">
        <v>218</v>
      </c>
      <c r="B18" s="40" t="s">
        <v>219</v>
      </c>
      <c r="C18" s="34">
        <f>COUNTA(AVARIES_AUTO!A2:A1000)</f>
        <v>13</v>
      </c>
      <c r="L18" s="34"/>
      <c r="M18" s="34"/>
      <c r="N18" s="34"/>
      <c r="O18" s="34"/>
      <c r="P18" s="34"/>
      <c r="Q18" s="34"/>
      <c r="R18" s="34"/>
    </row>
    <row r="19">
      <c r="B19" s="40" t="s">
        <v>220</v>
      </c>
      <c r="C19" s="34">
        <f>COUNTIF(AVARIES_AUTO!K:K, "PENDENT_REVISAR")
</f>
        <v>8</v>
      </c>
      <c r="L19" s="34"/>
      <c r="M19" s="34"/>
      <c r="N19" s="34"/>
      <c r="O19" s="34"/>
      <c r="P19" s="34"/>
      <c r="Q19" s="34"/>
      <c r="R19" s="34"/>
    </row>
    <row r="20">
      <c r="B20" s="40" t="s">
        <v>221</v>
      </c>
      <c r="C20" s="34">
        <f>COUNTIF(AVARIES_AUTO!K:K, "PENDENT_GARANTIA")
</f>
        <v>4</v>
      </c>
      <c r="L20" s="34"/>
      <c r="M20" s="34"/>
      <c r="N20" s="34"/>
      <c r="O20" s="34"/>
      <c r="P20" s="34"/>
      <c r="Q20" s="34"/>
      <c r="R20" s="34"/>
    </row>
    <row r="21">
      <c r="B21" s="40" t="s">
        <v>222</v>
      </c>
      <c r="C21" s="34">
        <f>COUNTIF(AVARIES_AUTO!G:G, "5")
</f>
        <v>3</v>
      </c>
      <c r="L21" s="34"/>
      <c r="M21" s="34"/>
      <c r="N21" s="34"/>
      <c r="O21" s="34"/>
      <c r="P21" s="34"/>
      <c r="Q21" s="34"/>
      <c r="R21" s="34"/>
    </row>
    <row r="22">
      <c r="B22" s="40" t="s">
        <v>223</v>
      </c>
      <c r="C22" s="41">
        <f>IFERROR(COUNTIF(AVARIES_AUTO!K:K,"PENDENT_GARANTIA")/(COUNTA(AVARIES_AUTO!C:C, "ID_VALID")),"")</f>
        <v>0.2666666667</v>
      </c>
      <c r="L22" s="34"/>
      <c r="M22" s="34"/>
      <c r="N22" s="34"/>
      <c r="O22" s="34"/>
      <c r="P22" s="34"/>
      <c r="Q22" s="34"/>
      <c r="R22" s="34"/>
    </row>
    <row r="23">
      <c r="L23" s="34"/>
      <c r="M23" s="34"/>
      <c r="N23" s="34"/>
      <c r="O23" s="34"/>
      <c r="P23" s="34"/>
      <c r="Q23" s="34"/>
      <c r="R23" s="34"/>
    </row>
    <row r="24">
      <c r="A24" s="42" t="s">
        <v>224</v>
      </c>
      <c r="B24" s="43" t="s">
        <v>225</v>
      </c>
      <c r="C24" s="34">
        <f>COUNTIF(REPARACIONS!J:J,"EN_REPARACIO")</f>
        <v>0</v>
      </c>
      <c r="L24" s="34"/>
      <c r="M24" s="34"/>
      <c r="N24" s="34"/>
      <c r="O24" s="34"/>
      <c r="P24" s="34"/>
      <c r="Q24" s="34"/>
      <c r="R24" s="34"/>
    </row>
    <row r="25">
      <c r="B25" s="43" t="s">
        <v>226</v>
      </c>
      <c r="C25" s="32">
        <f>COUNTIF(REPARACIONS!I:I, "12/2025")
</f>
        <v>0</v>
      </c>
      <c r="L25" s="34"/>
      <c r="M25" s="34"/>
      <c r="N25" s="34"/>
      <c r="O25" s="34"/>
      <c r="P25" s="34"/>
      <c r="Q25" s="34"/>
      <c r="R25" s="34"/>
    </row>
    <row r="26">
      <c r="B26" s="43" t="s">
        <v>227</v>
      </c>
      <c r="C26" s="44">
        <f>SUM(REPARACIONS!K:K)</f>
        <v>910</v>
      </c>
      <c r="L26" s="34"/>
      <c r="M26" s="34"/>
      <c r="N26" s="34"/>
      <c r="O26" s="34"/>
      <c r="P26" s="34"/>
      <c r="Q26" s="34"/>
      <c r="R26" s="34"/>
    </row>
    <row r="27">
      <c r="B27" s="43" t="s">
        <v>228</v>
      </c>
      <c r="C27" s="32">
        <f>COUNTIF(REPARACIONS!G:G, "GARANTIA")
</f>
        <v>3</v>
      </c>
      <c r="I27" s="35"/>
      <c r="L27" s="34"/>
      <c r="M27" s="34"/>
      <c r="N27" s="34"/>
      <c r="O27" s="34"/>
      <c r="P27" s="34"/>
      <c r="Q27" s="34"/>
      <c r="R27" s="34"/>
    </row>
    <row r="28">
      <c r="B28" s="43" t="s">
        <v>229</v>
      </c>
      <c r="C28" s="32">
        <f>COUNTIF(REPARACIONS!J:J, "IRREPARABLE")
</f>
        <v>0</v>
      </c>
      <c r="L28" s="34"/>
      <c r="M28" s="34"/>
      <c r="N28" s="34"/>
      <c r="O28" s="34"/>
      <c r="P28" s="34"/>
      <c r="Q28" s="34"/>
      <c r="R28" s="34"/>
    </row>
    <row r="29">
      <c r="A29" s="45"/>
      <c r="L29" s="34"/>
      <c r="M29" s="34"/>
      <c r="N29" s="34"/>
      <c r="O29" s="34"/>
      <c r="P29" s="34"/>
      <c r="Q29" s="34"/>
      <c r="R29" s="34"/>
    </row>
    <row r="30">
      <c r="A30" s="46" t="s">
        <v>230</v>
      </c>
      <c r="B30" s="31" t="s">
        <v>231</v>
      </c>
      <c r="C30" s="32">
        <f>COUNTIF(REPARACIONS!J:J, "FINALITZADA")
</f>
        <v>13</v>
      </c>
      <c r="L30" s="34"/>
      <c r="M30" s="34"/>
      <c r="N30" s="34"/>
      <c r="O30" s="34"/>
      <c r="P30" s="34"/>
      <c r="Q30" s="34"/>
      <c r="R30" s="34"/>
    </row>
    <row r="31">
      <c r="B31" s="31" t="s">
        <v>232</v>
      </c>
      <c r="C31" s="34"/>
    </row>
    <row r="32">
      <c r="B32" s="31" t="s">
        <v>233</v>
      </c>
      <c r="C32" s="34"/>
    </row>
    <row r="33">
      <c r="B33" s="31" t="s">
        <v>234</v>
      </c>
      <c r="C33" s="34"/>
    </row>
    <row r="34">
      <c r="B34" s="31" t="s">
        <v>235</v>
      </c>
      <c r="C34" s="34"/>
    </row>
    <row r="37">
      <c r="A37" s="47" t="s">
        <v>236</v>
      </c>
      <c r="B37" s="47" t="s">
        <v>204</v>
      </c>
      <c r="C37" s="47" t="s">
        <v>237</v>
      </c>
    </row>
    <row r="38">
      <c r="A38" s="47" t="s">
        <v>238</v>
      </c>
    </row>
  </sheetData>
  <mergeCells count="6">
    <mergeCell ref="A2:A9"/>
    <mergeCell ref="L2:P2"/>
    <mergeCell ref="A11:A16"/>
    <mergeCell ref="A18:A22"/>
    <mergeCell ref="A24:A28"/>
    <mergeCell ref="A30:A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13"/>
    <col customWidth="1" min="3" max="3" width="25.38"/>
    <col customWidth="1" min="4" max="4" width="32.38"/>
    <col customWidth="1" min="5" max="5" width="25.0"/>
    <col customWidth="1" min="6" max="6" width="73.13"/>
    <col customWidth="1" min="7" max="7" width="28.25"/>
    <col customWidth="1" min="8" max="8" width="24.5"/>
    <col customWidth="1" min="9" max="9" width="21.38"/>
    <col customWidth="1" min="10" max="10" width="24.5"/>
    <col customWidth="1" min="11" max="16" width="18.88"/>
  </cols>
  <sheetData>
    <row r="1" ht="22.5" customHeight="1">
      <c r="A1" s="1" t="s">
        <v>0</v>
      </c>
      <c r="B1" s="1" t="s">
        <v>10</v>
      </c>
      <c r="C1" s="48" t="s">
        <v>239</v>
      </c>
      <c r="D1" s="1" t="s">
        <v>240</v>
      </c>
      <c r="E1" s="1" t="s">
        <v>241</v>
      </c>
      <c r="F1" s="2" t="s">
        <v>242</v>
      </c>
      <c r="G1" s="1" t="s">
        <v>243</v>
      </c>
      <c r="H1" s="1" t="s">
        <v>244</v>
      </c>
      <c r="I1" s="1" t="s">
        <v>245</v>
      </c>
      <c r="J1" s="1" t="s">
        <v>246</v>
      </c>
    </row>
    <row r="2" ht="22.5" customHeight="1">
      <c r="A2" s="49">
        <v>45712.35434027778</v>
      </c>
      <c r="B2" s="50" t="s">
        <v>11</v>
      </c>
      <c r="C2" s="50" t="s">
        <v>247</v>
      </c>
      <c r="D2" s="50" t="s">
        <v>248</v>
      </c>
      <c r="E2" s="50" t="s">
        <v>249</v>
      </c>
      <c r="F2" s="50" t="s">
        <v>250</v>
      </c>
      <c r="G2" s="50" t="s">
        <v>251</v>
      </c>
      <c r="H2" s="50" t="s">
        <v>252</v>
      </c>
      <c r="I2" s="50">
        <v>5.0</v>
      </c>
      <c r="J2" s="50" t="s">
        <v>253</v>
      </c>
    </row>
    <row r="3" ht="22.5" customHeight="1">
      <c r="A3" s="49">
        <v>45712.40650462963</v>
      </c>
      <c r="B3" s="50" t="s">
        <v>88</v>
      </c>
      <c r="C3" s="50" t="s">
        <v>181</v>
      </c>
      <c r="D3" s="50" t="s">
        <v>254</v>
      </c>
      <c r="E3" s="50" t="s">
        <v>255</v>
      </c>
      <c r="F3" s="50" t="s">
        <v>256</v>
      </c>
      <c r="G3" s="50" t="s">
        <v>257</v>
      </c>
      <c r="H3" s="50" t="s">
        <v>258</v>
      </c>
      <c r="I3" s="50">
        <v>3.0</v>
      </c>
      <c r="J3" s="50" t="s">
        <v>259</v>
      </c>
    </row>
    <row r="4" ht="22.5" customHeight="1">
      <c r="A4" s="49">
        <v>45712.427465277775</v>
      </c>
      <c r="B4" s="50" t="s">
        <v>17</v>
      </c>
      <c r="C4" s="50" t="s">
        <v>183</v>
      </c>
      <c r="D4" s="50" t="s">
        <v>260</v>
      </c>
      <c r="E4" s="50" t="s">
        <v>261</v>
      </c>
      <c r="F4" s="50" t="s">
        <v>262</v>
      </c>
      <c r="G4" s="50" t="s">
        <v>263</v>
      </c>
      <c r="H4" s="50" t="s">
        <v>258</v>
      </c>
      <c r="I4" s="50">
        <v>3.0</v>
      </c>
      <c r="J4" s="50" t="s">
        <v>264</v>
      </c>
    </row>
    <row r="5" ht="22.5" customHeight="1">
      <c r="A5" s="49">
        <v>45712.47273148148</v>
      </c>
      <c r="B5" s="50" t="s">
        <v>22</v>
      </c>
      <c r="C5" s="50" t="s">
        <v>185</v>
      </c>
      <c r="D5" s="50" t="s">
        <v>265</v>
      </c>
      <c r="E5" s="50" t="s">
        <v>266</v>
      </c>
      <c r="F5" s="50" t="s">
        <v>267</v>
      </c>
      <c r="G5" s="50" t="s">
        <v>268</v>
      </c>
      <c r="H5" s="50" t="s">
        <v>258</v>
      </c>
      <c r="I5" s="50">
        <v>2.0</v>
      </c>
      <c r="J5" s="50" t="s">
        <v>259</v>
      </c>
    </row>
    <row r="6" ht="22.5" customHeight="1">
      <c r="A6" s="49">
        <v>45712.524502314816</v>
      </c>
      <c r="B6" s="50" t="s">
        <v>94</v>
      </c>
      <c r="C6" s="50" t="s">
        <v>186</v>
      </c>
      <c r="D6" s="50" t="s">
        <v>269</v>
      </c>
      <c r="E6" s="50" t="s">
        <v>270</v>
      </c>
      <c r="F6" s="50" t="s">
        <v>271</v>
      </c>
      <c r="G6" s="50" t="s">
        <v>272</v>
      </c>
      <c r="H6" s="50" t="s">
        <v>273</v>
      </c>
      <c r="I6" s="50">
        <v>5.0</v>
      </c>
      <c r="J6" s="50" t="s">
        <v>253</v>
      </c>
    </row>
    <row r="7" ht="22.5" customHeight="1">
      <c r="A7" s="49">
        <v>45712.599282407406</v>
      </c>
      <c r="B7" s="50" t="s">
        <v>33</v>
      </c>
      <c r="C7" s="50" t="s">
        <v>187</v>
      </c>
      <c r="D7" s="50" t="s">
        <v>274</v>
      </c>
      <c r="E7" s="50" t="s">
        <v>275</v>
      </c>
      <c r="F7" s="50" t="s">
        <v>276</v>
      </c>
      <c r="G7" s="50" t="s">
        <v>263</v>
      </c>
      <c r="H7" s="50" t="s">
        <v>258</v>
      </c>
      <c r="I7" s="50">
        <v>3.0</v>
      </c>
      <c r="J7" s="50" t="s">
        <v>259</v>
      </c>
    </row>
    <row r="8" ht="22.5" customHeight="1">
      <c r="A8" s="49">
        <v>45712.63232638889</v>
      </c>
      <c r="B8" s="50" t="s">
        <v>38</v>
      </c>
      <c r="C8" s="50" t="s">
        <v>188</v>
      </c>
      <c r="D8" s="50" t="s">
        <v>277</v>
      </c>
      <c r="E8" s="50" t="s">
        <v>278</v>
      </c>
      <c r="F8" s="50" t="s">
        <v>279</v>
      </c>
      <c r="G8" s="50" t="s">
        <v>257</v>
      </c>
      <c r="H8" s="50" t="s">
        <v>258</v>
      </c>
      <c r="I8" s="50">
        <v>4.0</v>
      </c>
      <c r="J8" s="50" t="s">
        <v>264</v>
      </c>
    </row>
    <row r="9" ht="22.5" customHeight="1">
      <c r="A9" s="49">
        <v>45712.69805555556</v>
      </c>
      <c r="B9" s="50" t="s">
        <v>78</v>
      </c>
      <c r="C9" s="50" t="s">
        <v>189</v>
      </c>
      <c r="D9" s="50" t="s">
        <v>280</v>
      </c>
      <c r="E9" s="50" t="s">
        <v>281</v>
      </c>
      <c r="F9" s="50" t="s">
        <v>282</v>
      </c>
      <c r="G9" s="50" t="s">
        <v>268</v>
      </c>
      <c r="H9" s="50" t="s">
        <v>258</v>
      </c>
      <c r="I9" s="50">
        <v>4.0</v>
      </c>
      <c r="J9" s="50" t="s">
        <v>264</v>
      </c>
    </row>
    <row r="10" ht="22.5" customHeight="1">
      <c r="A10" s="49">
        <v>45712.72945601852</v>
      </c>
      <c r="B10" s="50" t="s">
        <v>100</v>
      </c>
      <c r="C10" s="50" t="s">
        <v>190</v>
      </c>
      <c r="D10" s="50" t="s">
        <v>283</v>
      </c>
      <c r="E10" s="50" t="s">
        <v>284</v>
      </c>
      <c r="F10" s="50" t="s">
        <v>285</v>
      </c>
      <c r="G10" s="50" t="s">
        <v>251</v>
      </c>
      <c r="H10" s="50" t="s">
        <v>258</v>
      </c>
      <c r="I10" s="50">
        <v>4.0</v>
      </c>
      <c r="J10" s="50" t="s">
        <v>264</v>
      </c>
    </row>
    <row r="11" ht="22.5" customHeight="1">
      <c r="A11" s="49">
        <v>45713.38590277778</v>
      </c>
      <c r="B11" s="50" t="s">
        <v>60</v>
      </c>
      <c r="C11" s="50" t="s">
        <v>191</v>
      </c>
      <c r="D11" s="50" t="s">
        <v>286</v>
      </c>
      <c r="E11" s="50" t="s">
        <v>287</v>
      </c>
      <c r="F11" s="50" t="s">
        <v>288</v>
      </c>
      <c r="G11" s="50" t="s">
        <v>272</v>
      </c>
      <c r="H11" s="50" t="s">
        <v>252</v>
      </c>
      <c r="I11" s="50">
        <v>5.0</v>
      </c>
      <c r="J11" s="50" t="s">
        <v>253</v>
      </c>
    </row>
    <row r="12" ht="22.5" customHeight="1">
      <c r="A12" s="49">
        <v>45713.436527777776</v>
      </c>
      <c r="B12" s="50" t="s">
        <v>43</v>
      </c>
      <c r="C12" s="50" t="s">
        <v>193</v>
      </c>
      <c r="D12" s="50" t="s">
        <v>289</v>
      </c>
      <c r="E12" s="50" t="s">
        <v>290</v>
      </c>
      <c r="F12" s="50" t="s">
        <v>291</v>
      </c>
      <c r="G12" s="50" t="s">
        <v>257</v>
      </c>
      <c r="H12" s="50" t="s">
        <v>258</v>
      </c>
      <c r="I12" s="50">
        <v>3.0</v>
      </c>
      <c r="J12" s="50" t="s">
        <v>259</v>
      </c>
    </row>
    <row r="13" ht="22.5" customHeight="1">
      <c r="A13" s="49">
        <v>45713.489803240744</v>
      </c>
      <c r="B13" s="50" t="s">
        <v>64</v>
      </c>
      <c r="C13" s="50" t="s">
        <v>194</v>
      </c>
      <c r="D13" s="50" t="s">
        <v>292</v>
      </c>
      <c r="E13" s="50" t="s">
        <v>53</v>
      </c>
      <c r="F13" s="50" t="s">
        <v>293</v>
      </c>
      <c r="G13" s="50" t="s">
        <v>263</v>
      </c>
      <c r="H13" s="50" t="s">
        <v>273</v>
      </c>
      <c r="I13" s="50">
        <v>3.0</v>
      </c>
      <c r="J13" s="50" t="s">
        <v>259</v>
      </c>
    </row>
    <row r="14" ht="22.5" customHeight="1">
      <c r="A14" s="49">
        <v>45713.59915509259</v>
      </c>
      <c r="B14" s="50" t="s">
        <v>67</v>
      </c>
      <c r="C14" s="50" t="s">
        <v>196</v>
      </c>
      <c r="D14" s="50" t="s">
        <v>294</v>
      </c>
      <c r="E14" s="50" t="s">
        <v>295</v>
      </c>
      <c r="F14" s="50" t="s">
        <v>296</v>
      </c>
      <c r="G14" s="50" t="s">
        <v>268</v>
      </c>
      <c r="H14" s="50" t="s">
        <v>258</v>
      </c>
      <c r="I14" s="50">
        <v>2.0</v>
      </c>
      <c r="J14" s="50" t="s">
        <v>297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17.75"/>
    <col customWidth="1" min="5" max="5" width="31.38"/>
    <col customWidth="1" min="6" max="6" width="20.5"/>
    <col customWidth="1" min="7" max="7" width="28.63"/>
    <col customWidth="1" min="8" max="8" width="21.25"/>
    <col customWidth="1" min="9" max="9" width="19.38"/>
    <col customWidth="1" min="10" max="10" width="16.75"/>
    <col customWidth="1" min="11" max="11" width="18.38"/>
  </cols>
  <sheetData>
    <row r="1">
      <c r="A1" s="51" t="s">
        <v>169</v>
      </c>
      <c r="B1" s="51" t="s">
        <v>122</v>
      </c>
      <c r="C1" s="51" t="s">
        <v>298</v>
      </c>
      <c r="D1" s="51" t="s">
        <v>299</v>
      </c>
      <c r="E1" s="51" t="s">
        <v>300</v>
      </c>
      <c r="F1" s="51" t="s">
        <v>301</v>
      </c>
      <c r="G1" s="51" t="s">
        <v>302</v>
      </c>
      <c r="H1" s="51" t="s">
        <v>303</v>
      </c>
      <c r="I1" s="51" t="s">
        <v>304</v>
      </c>
      <c r="J1" s="51" t="s">
        <v>305</v>
      </c>
      <c r="K1" s="51" t="s">
        <v>306</v>
      </c>
    </row>
    <row r="2">
      <c r="A2" s="23">
        <f t="shared" ref="A2:A14" si="1">ROW() - 1
</f>
        <v>1</v>
      </c>
      <c r="B2" s="52" t="str">
        <f t="array" ref="B2:B101">AVARIES!C2:C1000</f>
        <v>POR007</v>
      </c>
      <c r="C2" s="23" t="str">
        <f>IF(ISNA(VLOOKUP(B2, inventari!A:A, 1, FALSE)), "EQUIP_NO_EXISTEIX", "ID_VALID")</f>
        <v>ID_VALID</v>
      </c>
      <c r="D2" s="52" t="str">
        <f>IF(C2="ID_VALID", VLOOKUP(B2, inventari!A:E, 5, FALSE), "N/A")</f>
        <v>Comercial_04</v>
      </c>
      <c r="E2" s="23" t="str">
        <f t="array" ref="E2:E101">AVARIES!D2:D1000</f>
        <v>EMP001 - Maria Santos (Comercial)</v>
      </c>
      <c r="F2" s="52" t="str">
        <f t="array" ref="F2:F101">AVARIES!E2:E1000</f>
        <v>Pantalla trencada</v>
      </c>
      <c r="G2" s="23">
        <f t="array" ref="G2:G101">AVARIES!I2:I1000</f>
        <v>5</v>
      </c>
      <c r="H2" s="52" t="str">
        <f t="array" ref="H2:H101">AVARIES!J2:J1000</f>
        <v>Molt urgent (atura treball)</v>
      </c>
      <c r="I2" s="53">
        <f t="array" ref="I2:I101">AVARIES!A2:A1000</f>
        <v>45712.35434</v>
      </c>
      <c r="J2" s="54" t="str">
        <f t="array" ref="J2:J1000">IF(ISBLANK(B2:B1000),"",IF(C2:C1000="ID_VALID",IFERROR(TRIM(VLOOKUP(TRIM(B2:B1000),inventari!A:N,14,FALSE)),"ERROR_CERCAT"),"NO_APLICA"))
</f>
        <v>VIGENT</v>
      </c>
      <c r="K2" s="23" t="str">
        <f t="shared" ref="K2:K14" si="2">IF(C2="EQUIP_NO_EXISTEIX", "ERROR_EQUIP", IF(J2="VIGENT", "PENDENT_GARANTIA", "PENDENT_REVISAR"))</f>
        <v>PENDENT_GARANTIA</v>
      </c>
    </row>
    <row r="3">
      <c r="A3" s="23">
        <f t="shared" si="1"/>
        <v>2</v>
      </c>
      <c r="B3" s="52" t="s">
        <v>181</v>
      </c>
      <c r="C3" s="23" t="str">
        <f>IF(ISNA(VLOOKUP(B3, inventari!A:A, 1, FALSE)), "EQUIP_NO_EXISTEIX", "ID_VALID")</f>
        <v>ID_VALID</v>
      </c>
      <c r="D3" s="52" t="str">
        <f>IF(C3="ID_VALID", VLOOKUP(B3, inventari!A:E, 5, FALSE), "N/A")</f>
        <v>ENGINYERIA_02</v>
      </c>
      <c r="E3" s="23" t="s">
        <v>254</v>
      </c>
      <c r="F3" s="52" t="s">
        <v>255</v>
      </c>
      <c r="G3" s="23">
        <v>3.0</v>
      </c>
      <c r="H3" s="52" t="s">
        <v>259</v>
      </c>
      <c r="I3" s="53">
        <v>45712.40650462963</v>
      </c>
      <c r="J3" s="54" t="s">
        <v>307</v>
      </c>
      <c r="K3" s="23" t="str">
        <f t="shared" si="2"/>
        <v>PENDENT_REVISAR</v>
      </c>
    </row>
    <row r="4">
      <c r="A4" s="23">
        <f t="shared" si="1"/>
        <v>3</v>
      </c>
      <c r="B4" s="52" t="s">
        <v>183</v>
      </c>
      <c r="C4" s="23" t="str">
        <f>IF(ISNA(VLOOKUP(B4, inventari!A:A, 1, FALSE)), "EQUIP_NO_EXISTEIX", "ID_VALID")</f>
        <v>ID_VALID</v>
      </c>
      <c r="D4" s="52" t="str">
        <f>IF(C4="ID_VALID", VLOOKUP(B4, inventari!A:E, 5, FALSE), "N/A")</f>
        <v>DESPATX_02</v>
      </c>
      <c r="E4" s="23" t="s">
        <v>260</v>
      </c>
      <c r="F4" s="52" t="s">
        <v>261</v>
      </c>
      <c r="G4" s="23">
        <v>3.0</v>
      </c>
      <c r="H4" s="52" t="s">
        <v>264</v>
      </c>
      <c r="I4" s="53">
        <v>45712.427465277775</v>
      </c>
      <c r="J4" s="54" t="s">
        <v>307</v>
      </c>
      <c r="K4" s="23" t="str">
        <f t="shared" si="2"/>
        <v>PENDENT_REVISAR</v>
      </c>
    </row>
    <row r="5">
      <c r="A5" s="23">
        <f t="shared" si="1"/>
        <v>4</v>
      </c>
      <c r="B5" s="52" t="s">
        <v>185</v>
      </c>
      <c r="C5" s="23" t="str">
        <f>IF(ISNA(VLOOKUP(B5, inventari!A:A, 1, FALSE)), "EQUIP_NO_EXISTEIX", "ID_VALID")</f>
        <v>ID_VALID</v>
      </c>
      <c r="D5" s="52" t="str">
        <f>IF(C5="ID_VALID", VLOOKUP(B5, inventari!A:E, 5, FALSE), "N/A")</f>
        <v>ENGINYERIA_02</v>
      </c>
      <c r="E5" s="23" t="s">
        <v>265</v>
      </c>
      <c r="F5" s="52" t="s">
        <v>266</v>
      </c>
      <c r="G5" s="23">
        <v>2.0</v>
      </c>
      <c r="H5" s="52" t="s">
        <v>259</v>
      </c>
      <c r="I5" s="53">
        <v>45712.47273148148</v>
      </c>
      <c r="J5" s="54" t="s">
        <v>307</v>
      </c>
      <c r="K5" s="23" t="str">
        <f t="shared" si="2"/>
        <v>PENDENT_REVISAR</v>
      </c>
    </row>
    <row r="6">
      <c r="A6" s="23">
        <f t="shared" si="1"/>
        <v>5</v>
      </c>
      <c r="B6" s="52" t="s">
        <v>186</v>
      </c>
      <c r="C6" s="23" t="str">
        <f>IF(ISNA(VLOOKUP(B6, inventari!A:A, 1, FALSE)), "EQUIP_NO_EXISTEIX", "ID_VALID")</f>
        <v>ID_VALID</v>
      </c>
      <c r="D6" s="52" t="str">
        <f>IF(C6="ID_VALID", VLOOKUP(B6, inventari!A:E, 5, FALSE), "N/A")</f>
        <v>DESPATX_02</v>
      </c>
      <c r="E6" s="23" t="s">
        <v>269</v>
      </c>
      <c r="F6" s="52" t="s">
        <v>270</v>
      </c>
      <c r="G6" s="23">
        <v>5.0</v>
      </c>
      <c r="H6" s="52" t="s">
        <v>253</v>
      </c>
      <c r="I6" s="53">
        <v>45712.524502314816</v>
      </c>
      <c r="J6" s="54" t="s">
        <v>307</v>
      </c>
      <c r="K6" s="23" t="str">
        <f t="shared" si="2"/>
        <v>PENDENT_REVISAR</v>
      </c>
    </row>
    <row r="7">
      <c r="A7" s="23">
        <f t="shared" si="1"/>
        <v>6</v>
      </c>
      <c r="B7" s="52" t="s">
        <v>187</v>
      </c>
      <c r="C7" s="23" t="str">
        <f>IF(ISNA(VLOOKUP(B7, inventari!A:A, 1, FALSE)), "EQUIP_NO_EXISTEIX", "ID_VALID")</f>
        <v>ID_VALID</v>
      </c>
      <c r="D7" s="52" t="str">
        <f>IF(C7="ID_VALID", VLOOKUP(B7, inventari!A:E, 5, FALSE), "N/A")</f>
        <v>MAGATZEM </v>
      </c>
      <c r="E7" s="23" t="s">
        <v>274</v>
      </c>
      <c r="F7" s="52" t="s">
        <v>275</v>
      </c>
      <c r="G7" s="23">
        <v>3.0</v>
      </c>
      <c r="H7" s="52" t="s">
        <v>259</v>
      </c>
      <c r="I7" s="53">
        <v>45712.599282407406</v>
      </c>
      <c r="J7" s="54" t="s">
        <v>308</v>
      </c>
      <c r="K7" s="23" t="str">
        <f t="shared" si="2"/>
        <v>PENDENT_GARANTIA</v>
      </c>
    </row>
    <row r="8">
      <c r="A8" s="23">
        <f t="shared" si="1"/>
        <v>7</v>
      </c>
      <c r="B8" s="52" t="s">
        <v>188</v>
      </c>
      <c r="C8" s="23" t="str">
        <f>IF(ISNA(VLOOKUP(B8, inventari!A:A, 1, FALSE)), "EQUIP_NO_EXISTEIX", "ID_VALID")</f>
        <v>ID_VALID</v>
      </c>
      <c r="D8" s="52" t="str">
        <f>IF(C8="ID_VALID", VLOOKUP(B8, inventari!A:E, 5, FALSE), "N/A")</f>
        <v>MAGATZEM </v>
      </c>
      <c r="E8" s="23" t="s">
        <v>277</v>
      </c>
      <c r="F8" s="52" t="s">
        <v>278</v>
      </c>
      <c r="G8" s="23">
        <v>4.0</v>
      </c>
      <c r="H8" s="52" t="s">
        <v>264</v>
      </c>
      <c r="I8" s="53">
        <v>45712.63232638889</v>
      </c>
      <c r="J8" s="54" t="s">
        <v>308</v>
      </c>
      <c r="K8" s="23" t="str">
        <f t="shared" si="2"/>
        <v>PENDENT_GARANTIA</v>
      </c>
    </row>
    <row r="9">
      <c r="A9" s="23">
        <f t="shared" si="1"/>
        <v>8</v>
      </c>
      <c r="B9" s="52" t="s">
        <v>189</v>
      </c>
      <c r="C9" s="23" t="str">
        <f>IF(ISNA(VLOOKUP(B9, inventari!A:A, 1, FALSE)), "EQUIP_NO_EXISTEIX", "ID_VALID")</f>
        <v>ID_VALID</v>
      </c>
      <c r="D9" s="52" t="str">
        <f>IF(C9="ID_VALID", VLOOKUP(B9, inventari!A:E, 5, FALSE), "N/A")</f>
        <v>MAGATZEM </v>
      </c>
      <c r="E9" s="23" t="s">
        <v>280</v>
      </c>
      <c r="F9" s="52" t="s">
        <v>281</v>
      </c>
      <c r="G9" s="23">
        <v>4.0</v>
      </c>
      <c r="H9" s="52" t="s">
        <v>264</v>
      </c>
      <c r="I9" s="53">
        <v>45712.69805555556</v>
      </c>
      <c r="J9" s="54" t="s">
        <v>307</v>
      </c>
      <c r="K9" s="23" t="str">
        <f t="shared" si="2"/>
        <v>PENDENT_REVISAR</v>
      </c>
    </row>
    <row r="10">
      <c r="A10" s="23">
        <f t="shared" si="1"/>
        <v>9</v>
      </c>
      <c r="B10" s="52" t="s">
        <v>190</v>
      </c>
      <c r="C10" s="23" t="str">
        <f>IF(ISNA(VLOOKUP(B10, inventari!A:A, 1, FALSE)), "EQUIP_NO_EXISTEIX", "ID_VALID")</f>
        <v>ID_VALID</v>
      </c>
      <c r="D10" s="52" t="str">
        <f>IF(C10="ID_VALID", VLOOKUP(B10, inventari!A:E, 5, FALSE), "N/A")</f>
        <v>MAGATZEM </v>
      </c>
      <c r="E10" s="23" t="s">
        <v>283</v>
      </c>
      <c r="F10" s="52" t="s">
        <v>284</v>
      </c>
      <c r="G10" s="23">
        <v>4.0</v>
      </c>
      <c r="H10" s="52" t="s">
        <v>264</v>
      </c>
      <c r="I10" s="53">
        <v>45712.72945601852</v>
      </c>
      <c r="J10" s="54" t="s">
        <v>307</v>
      </c>
      <c r="K10" s="23" t="str">
        <f t="shared" si="2"/>
        <v>PENDENT_REVISAR</v>
      </c>
    </row>
    <row r="11">
      <c r="A11" s="23">
        <f t="shared" si="1"/>
        <v>10</v>
      </c>
      <c r="B11" s="52" t="s">
        <v>191</v>
      </c>
      <c r="C11" s="23" t="str">
        <f>IF(ISNA(VLOOKUP(B11, inventari!A:A, 1, FALSE)), "EQUIP_NO_EXISTEIX", "ID_VALID")</f>
        <v>EQUIP_NO_EXISTEIX</v>
      </c>
      <c r="D11" s="52" t="str">
        <f>IF(C11="ID_VALID", VLOOKUP(B11, inventari!A:E, 5, FALSE), "N/A")</f>
        <v>N/A</v>
      </c>
      <c r="E11" s="23" t="s">
        <v>286</v>
      </c>
      <c r="F11" s="52" t="s">
        <v>287</v>
      </c>
      <c r="G11" s="23">
        <v>5.0</v>
      </c>
      <c r="H11" s="52" t="s">
        <v>253</v>
      </c>
      <c r="I11" s="53">
        <v>45713.38590277778</v>
      </c>
      <c r="J11" s="54" t="s">
        <v>309</v>
      </c>
      <c r="K11" s="23" t="str">
        <f t="shared" si="2"/>
        <v>ERROR_EQUIP</v>
      </c>
    </row>
    <row r="12">
      <c r="A12" s="23">
        <f t="shared" si="1"/>
        <v>11</v>
      </c>
      <c r="B12" s="52" t="s">
        <v>193</v>
      </c>
      <c r="C12" s="23" t="str">
        <f>IF(ISNA(VLOOKUP(B12, inventari!A:A, 1, FALSE)), "EQUIP_NO_EXISTEIX", "ID_VALID")</f>
        <v>ID_VALID</v>
      </c>
      <c r="D12" s="52" t="str">
        <f>IF(C12="ID_VALID", VLOOKUP(B12, inventari!A:E, 5, FALSE), "N/A")</f>
        <v>MAGATZEM </v>
      </c>
      <c r="E12" s="23" t="s">
        <v>289</v>
      </c>
      <c r="F12" s="52" t="s">
        <v>290</v>
      </c>
      <c r="G12" s="23">
        <v>3.0</v>
      </c>
      <c r="H12" s="52" t="s">
        <v>259</v>
      </c>
      <c r="I12" s="53">
        <v>45713.436527777776</v>
      </c>
      <c r="J12" s="54" t="s">
        <v>308</v>
      </c>
      <c r="K12" s="23" t="str">
        <f t="shared" si="2"/>
        <v>PENDENT_GARANTIA</v>
      </c>
    </row>
    <row r="13">
      <c r="A13" s="23">
        <f t="shared" si="1"/>
        <v>12</v>
      </c>
      <c r="B13" s="52" t="s">
        <v>194</v>
      </c>
      <c r="C13" s="23" t="str">
        <f>IF(ISNA(VLOOKUP(B13, inventari!A:A, 1, FALSE)), "EQUIP_NO_EXISTEIX", "ID_VALID")</f>
        <v>ID_VALID</v>
      </c>
      <c r="D13" s="52" t="str">
        <f>IF(C13="ID_VALID", VLOOKUP(B13, inventari!A:E, 5, FALSE), "N/A")</f>
        <v>MAGATZEM </v>
      </c>
      <c r="E13" s="23" t="s">
        <v>292</v>
      </c>
      <c r="F13" s="52" t="s">
        <v>53</v>
      </c>
      <c r="G13" s="23">
        <v>3.0</v>
      </c>
      <c r="H13" s="52" t="s">
        <v>259</v>
      </c>
      <c r="I13" s="53">
        <v>45713.489803240744</v>
      </c>
      <c r="J13" s="54" t="s">
        <v>307</v>
      </c>
      <c r="K13" s="23" t="str">
        <f t="shared" si="2"/>
        <v>PENDENT_REVISAR</v>
      </c>
    </row>
    <row r="14">
      <c r="A14" s="23">
        <f t="shared" si="1"/>
        <v>13</v>
      </c>
      <c r="B14" s="52" t="s">
        <v>196</v>
      </c>
      <c r="C14" s="23" t="str">
        <f>IF(ISNA(VLOOKUP(B14, inventari!A:A, 1, FALSE)), "EQUIP_NO_EXISTEIX", "ID_VALID")</f>
        <v>ID_VALID</v>
      </c>
      <c r="D14" s="52" t="str">
        <f>IF(C14="ID_VALID", VLOOKUP(B14, inventari!A:E, 5, FALSE), "N/A")</f>
        <v>DESPATX_02</v>
      </c>
      <c r="E14" s="23" t="s">
        <v>294</v>
      </c>
      <c r="F14" s="52" t="s">
        <v>295</v>
      </c>
      <c r="G14" s="23">
        <v>2.0</v>
      </c>
      <c r="H14" s="52" t="s">
        <v>297</v>
      </c>
      <c r="I14" s="53">
        <v>45713.59915509259</v>
      </c>
      <c r="J14" s="54" t="s">
        <v>307</v>
      </c>
      <c r="K14" s="23" t="str">
        <f t="shared" si="2"/>
        <v>PENDENT_REVISAR</v>
      </c>
    </row>
    <row r="15">
      <c r="B15" s="15"/>
      <c r="E15" s="15"/>
      <c r="F15" s="15"/>
      <c r="G15" s="15"/>
      <c r="H15" s="15"/>
      <c r="I15" s="15"/>
      <c r="J15" s="15" t="s">
        <v>198</v>
      </c>
    </row>
    <row r="16">
      <c r="B16" s="15"/>
      <c r="E16" s="15"/>
      <c r="F16" s="15"/>
      <c r="G16" s="15"/>
      <c r="H16" s="15"/>
      <c r="I16" s="15"/>
      <c r="J16" s="15" t="s">
        <v>198</v>
      </c>
    </row>
    <row r="17">
      <c r="B17" s="15"/>
      <c r="E17" s="15"/>
      <c r="F17" s="15"/>
      <c r="G17" s="15"/>
      <c r="H17" s="15"/>
      <c r="I17" s="15"/>
      <c r="J17" s="15" t="s">
        <v>198</v>
      </c>
    </row>
    <row r="18">
      <c r="B18" s="15"/>
      <c r="E18" s="15"/>
      <c r="F18" s="15"/>
      <c r="G18" s="15"/>
      <c r="H18" s="15"/>
      <c r="I18" s="15"/>
      <c r="J18" s="15" t="s">
        <v>198</v>
      </c>
    </row>
    <row r="19">
      <c r="B19" s="15"/>
      <c r="E19" s="15"/>
      <c r="F19" s="15"/>
      <c r="G19" s="15"/>
      <c r="H19" s="15"/>
      <c r="I19" s="15"/>
      <c r="J19" s="15" t="s">
        <v>198</v>
      </c>
    </row>
    <row r="20">
      <c r="B20" s="15"/>
      <c r="E20" s="15"/>
      <c r="F20" s="15"/>
      <c r="G20" s="15"/>
      <c r="H20" s="15"/>
      <c r="I20" s="15"/>
      <c r="J20" s="15" t="s">
        <v>198</v>
      </c>
    </row>
    <row r="21">
      <c r="B21" s="15"/>
      <c r="E21" s="15"/>
      <c r="F21" s="15"/>
      <c r="G21" s="15"/>
      <c r="H21" s="15"/>
      <c r="I21" s="15"/>
      <c r="J21" s="15" t="s">
        <v>198</v>
      </c>
    </row>
    <row r="22">
      <c r="B22" s="15"/>
      <c r="E22" s="15"/>
      <c r="F22" s="15"/>
      <c r="G22" s="15"/>
      <c r="H22" s="15"/>
      <c r="I22" s="15"/>
      <c r="J22" s="15" t="s">
        <v>198</v>
      </c>
    </row>
    <row r="23">
      <c r="B23" s="15"/>
      <c r="E23" s="15"/>
      <c r="F23" s="15"/>
      <c r="G23" s="15"/>
      <c r="H23" s="15"/>
      <c r="I23" s="15"/>
      <c r="J23" s="15" t="s">
        <v>198</v>
      </c>
    </row>
    <row r="24">
      <c r="B24" s="15"/>
      <c r="E24" s="15"/>
      <c r="F24" s="15"/>
      <c r="G24" s="15"/>
      <c r="H24" s="15"/>
      <c r="I24" s="15"/>
      <c r="J24" s="15" t="s">
        <v>198</v>
      </c>
    </row>
    <row r="25">
      <c r="B25" s="15"/>
      <c r="E25" s="15"/>
      <c r="F25" s="15"/>
      <c r="G25" s="15"/>
      <c r="H25" s="15"/>
      <c r="I25" s="15"/>
      <c r="J25" s="15" t="s">
        <v>198</v>
      </c>
    </row>
    <row r="26">
      <c r="B26" s="15"/>
      <c r="E26" s="15"/>
      <c r="F26" s="15"/>
      <c r="G26" s="15"/>
      <c r="H26" s="15"/>
      <c r="I26" s="15"/>
      <c r="J26" s="15" t="s">
        <v>198</v>
      </c>
    </row>
    <row r="27">
      <c r="B27" s="15"/>
      <c r="E27" s="15"/>
      <c r="F27" s="15"/>
      <c r="G27" s="15"/>
      <c r="H27" s="15"/>
      <c r="I27" s="15"/>
      <c r="J27" s="15" t="s">
        <v>198</v>
      </c>
    </row>
    <row r="28">
      <c r="B28" s="15"/>
      <c r="E28" s="15"/>
      <c r="F28" s="15"/>
      <c r="G28" s="15"/>
      <c r="H28" s="15"/>
      <c r="I28" s="15"/>
      <c r="J28" s="15" t="s">
        <v>198</v>
      </c>
    </row>
    <row r="29">
      <c r="B29" s="15"/>
      <c r="E29" s="15"/>
      <c r="F29" s="15"/>
      <c r="G29" s="15"/>
      <c r="H29" s="15"/>
      <c r="I29" s="15"/>
      <c r="J29" s="15" t="s">
        <v>198</v>
      </c>
    </row>
    <row r="30">
      <c r="B30" s="15"/>
      <c r="E30" s="15"/>
      <c r="F30" s="15"/>
      <c r="G30" s="15"/>
      <c r="H30" s="15"/>
      <c r="I30" s="15"/>
      <c r="J30" s="15" t="s">
        <v>198</v>
      </c>
    </row>
    <row r="31">
      <c r="B31" s="15"/>
      <c r="E31" s="15"/>
      <c r="F31" s="15"/>
      <c r="G31" s="15"/>
      <c r="H31" s="15"/>
      <c r="I31" s="15"/>
      <c r="J31" s="15" t="s">
        <v>198</v>
      </c>
    </row>
    <row r="32">
      <c r="B32" s="15"/>
      <c r="E32" s="15"/>
      <c r="F32" s="15"/>
      <c r="G32" s="15"/>
      <c r="H32" s="15"/>
      <c r="I32" s="15"/>
      <c r="J32" s="15" t="s">
        <v>198</v>
      </c>
    </row>
    <row r="33">
      <c r="B33" s="15"/>
      <c r="E33" s="15"/>
      <c r="F33" s="15"/>
      <c r="G33" s="15"/>
      <c r="H33" s="15"/>
      <c r="I33" s="15"/>
      <c r="J33" s="15" t="s">
        <v>198</v>
      </c>
    </row>
    <row r="34">
      <c r="B34" s="15"/>
      <c r="E34" s="15"/>
      <c r="F34" s="15"/>
      <c r="G34" s="15"/>
      <c r="H34" s="15"/>
      <c r="I34" s="15"/>
      <c r="J34" s="15" t="s">
        <v>198</v>
      </c>
    </row>
    <row r="35">
      <c r="B35" s="15"/>
      <c r="E35" s="15"/>
      <c r="F35" s="15"/>
      <c r="G35" s="15"/>
      <c r="H35" s="15"/>
      <c r="I35" s="15"/>
      <c r="J35" s="15" t="s">
        <v>198</v>
      </c>
    </row>
    <row r="36">
      <c r="B36" s="15"/>
      <c r="E36" s="15"/>
      <c r="F36" s="15"/>
      <c r="G36" s="15"/>
      <c r="H36" s="15"/>
      <c r="I36" s="15"/>
      <c r="J36" s="15" t="s">
        <v>198</v>
      </c>
    </row>
    <row r="37">
      <c r="B37" s="15"/>
      <c r="E37" s="15"/>
      <c r="F37" s="15"/>
      <c r="G37" s="15"/>
      <c r="H37" s="15"/>
      <c r="I37" s="15"/>
      <c r="J37" s="15" t="s">
        <v>198</v>
      </c>
    </row>
    <row r="38">
      <c r="B38" s="15"/>
      <c r="E38" s="15"/>
      <c r="F38" s="15"/>
      <c r="G38" s="15"/>
      <c r="H38" s="15"/>
      <c r="I38" s="15"/>
      <c r="J38" s="15" t="s">
        <v>198</v>
      </c>
    </row>
    <row r="39">
      <c r="B39" s="15"/>
      <c r="E39" s="15"/>
      <c r="F39" s="15"/>
      <c r="G39" s="15"/>
      <c r="H39" s="15"/>
      <c r="I39" s="15"/>
      <c r="J39" s="15" t="s">
        <v>198</v>
      </c>
    </row>
    <row r="40">
      <c r="B40" s="15"/>
      <c r="E40" s="15"/>
      <c r="F40" s="15"/>
      <c r="G40" s="15"/>
      <c r="H40" s="15"/>
      <c r="I40" s="15"/>
      <c r="J40" s="15" t="s">
        <v>198</v>
      </c>
    </row>
    <row r="41">
      <c r="B41" s="15"/>
      <c r="E41" s="15"/>
      <c r="F41" s="15"/>
      <c r="G41" s="15"/>
      <c r="H41" s="15"/>
      <c r="I41" s="15"/>
      <c r="J41" s="15" t="s">
        <v>198</v>
      </c>
    </row>
    <row r="42">
      <c r="B42" s="15"/>
      <c r="E42" s="15"/>
      <c r="F42" s="15"/>
      <c r="G42" s="15"/>
      <c r="H42" s="15"/>
      <c r="I42" s="15"/>
      <c r="J42" s="15" t="s">
        <v>198</v>
      </c>
    </row>
    <row r="43">
      <c r="B43" s="15"/>
      <c r="E43" s="15"/>
      <c r="F43" s="15"/>
      <c r="G43" s="15"/>
      <c r="H43" s="15"/>
      <c r="I43" s="15"/>
      <c r="J43" s="15" t="s">
        <v>198</v>
      </c>
    </row>
    <row r="44">
      <c r="B44" s="15"/>
      <c r="E44" s="15"/>
      <c r="F44" s="15"/>
      <c r="G44" s="15"/>
      <c r="H44" s="15"/>
      <c r="I44" s="15"/>
      <c r="J44" s="15" t="s">
        <v>198</v>
      </c>
    </row>
    <row r="45">
      <c r="B45" s="15"/>
      <c r="E45" s="15"/>
      <c r="F45" s="15"/>
      <c r="G45" s="15"/>
      <c r="H45" s="15"/>
      <c r="I45" s="15"/>
      <c r="J45" s="15" t="s">
        <v>198</v>
      </c>
    </row>
    <row r="46">
      <c r="B46" s="15"/>
      <c r="E46" s="15"/>
      <c r="F46" s="15"/>
      <c r="G46" s="15"/>
      <c r="H46" s="15"/>
      <c r="I46" s="15"/>
      <c r="J46" s="15" t="s">
        <v>198</v>
      </c>
    </row>
    <row r="47">
      <c r="B47" s="15"/>
      <c r="E47" s="15"/>
      <c r="F47" s="15"/>
      <c r="G47" s="15"/>
      <c r="H47" s="15"/>
      <c r="I47" s="15"/>
      <c r="J47" s="15" t="s">
        <v>198</v>
      </c>
    </row>
    <row r="48">
      <c r="B48" s="15"/>
      <c r="E48" s="15"/>
      <c r="F48" s="15"/>
      <c r="G48" s="15"/>
      <c r="H48" s="15"/>
      <c r="I48" s="15"/>
      <c r="J48" s="15" t="s">
        <v>198</v>
      </c>
    </row>
    <row r="49">
      <c r="B49" s="15"/>
      <c r="E49" s="15"/>
      <c r="F49" s="15"/>
      <c r="G49" s="15"/>
      <c r="H49" s="15"/>
      <c r="I49" s="15"/>
      <c r="J49" s="15" t="s">
        <v>198</v>
      </c>
    </row>
    <row r="50">
      <c r="B50" s="15"/>
      <c r="E50" s="15"/>
      <c r="F50" s="15"/>
      <c r="G50" s="15"/>
      <c r="H50" s="15"/>
      <c r="I50" s="15"/>
      <c r="J50" s="15" t="s">
        <v>198</v>
      </c>
    </row>
    <row r="51">
      <c r="B51" s="15"/>
      <c r="E51" s="15"/>
      <c r="F51" s="15"/>
      <c r="G51" s="15"/>
      <c r="H51" s="15"/>
      <c r="I51" s="15"/>
      <c r="J51" s="15" t="s">
        <v>198</v>
      </c>
    </row>
    <row r="52">
      <c r="B52" s="15"/>
      <c r="E52" s="15"/>
      <c r="F52" s="15"/>
      <c r="G52" s="15"/>
      <c r="H52" s="15"/>
      <c r="I52" s="15"/>
      <c r="J52" s="15" t="s">
        <v>198</v>
      </c>
    </row>
    <row r="53">
      <c r="B53" s="15"/>
      <c r="E53" s="15"/>
      <c r="F53" s="15"/>
      <c r="G53" s="15"/>
      <c r="H53" s="15"/>
      <c r="I53" s="15"/>
      <c r="J53" s="15" t="s">
        <v>198</v>
      </c>
    </row>
    <row r="54">
      <c r="B54" s="15"/>
      <c r="E54" s="15"/>
      <c r="F54" s="15"/>
      <c r="G54" s="15"/>
      <c r="H54" s="15"/>
      <c r="I54" s="15"/>
      <c r="J54" s="15" t="s">
        <v>198</v>
      </c>
    </row>
    <row r="55">
      <c r="B55" s="15"/>
      <c r="E55" s="15"/>
      <c r="F55" s="15"/>
      <c r="G55" s="15"/>
      <c r="H55" s="15"/>
      <c r="I55" s="15"/>
      <c r="J55" s="15" t="s">
        <v>198</v>
      </c>
    </row>
    <row r="56">
      <c r="B56" s="15"/>
      <c r="E56" s="15"/>
      <c r="F56" s="15"/>
      <c r="G56" s="15"/>
      <c r="H56" s="15"/>
      <c r="I56" s="15"/>
      <c r="J56" s="15" t="s">
        <v>198</v>
      </c>
    </row>
    <row r="57">
      <c r="B57" s="15"/>
      <c r="E57" s="15"/>
      <c r="F57" s="15"/>
      <c r="G57" s="15"/>
      <c r="H57" s="15"/>
      <c r="I57" s="15"/>
      <c r="J57" s="15" t="s">
        <v>198</v>
      </c>
    </row>
    <row r="58">
      <c r="B58" s="15"/>
      <c r="E58" s="15"/>
      <c r="F58" s="15"/>
      <c r="G58" s="15"/>
      <c r="H58" s="15"/>
      <c r="I58" s="15"/>
      <c r="J58" s="15" t="s">
        <v>198</v>
      </c>
    </row>
    <row r="59">
      <c r="B59" s="15"/>
      <c r="E59" s="15"/>
      <c r="F59" s="15"/>
      <c r="G59" s="15"/>
      <c r="H59" s="15"/>
      <c r="I59" s="15"/>
      <c r="J59" s="15" t="s">
        <v>198</v>
      </c>
    </row>
    <row r="60">
      <c r="B60" s="15"/>
      <c r="E60" s="15"/>
      <c r="F60" s="15"/>
      <c r="G60" s="15"/>
      <c r="H60" s="15"/>
      <c r="I60" s="15"/>
      <c r="J60" s="15" t="s">
        <v>198</v>
      </c>
    </row>
    <row r="61">
      <c r="B61" s="15"/>
      <c r="E61" s="15"/>
      <c r="F61" s="15"/>
      <c r="G61" s="15"/>
      <c r="H61" s="15"/>
      <c r="I61" s="15"/>
      <c r="J61" s="15" t="s">
        <v>198</v>
      </c>
    </row>
    <row r="62">
      <c r="B62" s="15"/>
      <c r="E62" s="15"/>
      <c r="F62" s="15"/>
      <c r="G62" s="15"/>
      <c r="H62" s="15"/>
      <c r="I62" s="15"/>
      <c r="J62" s="15" t="s">
        <v>198</v>
      </c>
    </row>
    <row r="63">
      <c r="B63" s="15"/>
      <c r="E63" s="15"/>
      <c r="F63" s="15"/>
      <c r="G63" s="15"/>
      <c r="H63" s="15"/>
      <c r="I63" s="15"/>
      <c r="J63" s="15" t="s">
        <v>198</v>
      </c>
    </row>
    <row r="64">
      <c r="B64" s="15"/>
      <c r="E64" s="15"/>
      <c r="F64" s="15"/>
      <c r="G64" s="15"/>
      <c r="H64" s="15"/>
      <c r="I64" s="15"/>
      <c r="J64" s="15" t="s">
        <v>198</v>
      </c>
    </row>
    <row r="65">
      <c r="B65" s="15"/>
      <c r="E65" s="15"/>
      <c r="F65" s="15"/>
      <c r="G65" s="15"/>
      <c r="H65" s="15"/>
      <c r="I65" s="15"/>
      <c r="J65" s="15" t="s">
        <v>198</v>
      </c>
    </row>
    <row r="66">
      <c r="B66" s="15"/>
      <c r="E66" s="15"/>
      <c r="F66" s="15"/>
      <c r="G66" s="15"/>
      <c r="H66" s="15"/>
      <c r="I66" s="15"/>
      <c r="J66" s="15" t="s">
        <v>198</v>
      </c>
    </row>
    <row r="67">
      <c r="B67" s="15"/>
      <c r="E67" s="15"/>
      <c r="F67" s="15"/>
      <c r="G67" s="15"/>
      <c r="H67" s="15"/>
      <c r="I67" s="15"/>
      <c r="J67" s="15" t="s">
        <v>198</v>
      </c>
    </row>
    <row r="68">
      <c r="B68" s="15"/>
      <c r="E68" s="15"/>
      <c r="F68" s="15"/>
      <c r="G68" s="15"/>
      <c r="H68" s="15"/>
      <c r="I68" s="15"/>
      <c r="J68" s="15" t="s">
        <v>198</v>
      </c>
    </row>
    <row r="69">
      <c r="B69" s="15"/>
      <c r="E69" s="15"/>
      <c r="F69" s="15"/>
      <c r="G69" s="15"/>
      <c r="H69" s="15"/>
      <c r="I69" s="15"/>
      <c r="J69" s="15" t="s">
        <v>198</v>
      </c>
    </row>
    <row r="70">
      <c r="B70" s="15"/>
      <c r="E70" s="15"/>
      <c r="F70" s="15"/>
      <c r="G70" s="15"/>
      <c r="H70" s="15"/>
      <c r="I70" s="15"/>
      <c r="J70" s="15" t="s">
        <v>198</v>
      </c>
    </row>
    <row r="71">
      <c r="B71" s="15"/>
      <c r="E71" s="15"/>
      <c r="F71" s="15"/>
      <c r="G71" s="15"/>
      <c r="H71" s="15"/>
      <c r="I71" s="15"/>
      <c r="J71" s="15" t="s">
        <v>198</v>
      </c>
    </row>
    <row r="72">
      <c r="B72" s="15"/>
      <c r="E72" s="15"/>
      <c r="F72" s="15"/>
      <c r="G72" s="15"/>
      <c r="H72" s="15"/>
      <c r="I72" s="15"/>
      <c r="J72" s="15" t="s">
        <v>198</v>
      </c>
    </row>
    <row r="73">
      <c r="B73" s="15"/>
      <c r="E73" s="15"/>
      <c r="F73" s="15"/>
      <c r="G73" s="15"/>
      <c r="H73" s="15"/>
      <c r="I73" s="15"/>
      <c r="J73" s="15" t="s">
        <v>198</v>
      </c>
    </row>
    <row r="74">
      <c r="B74" s="15"/>
      <c r="E74" s="15"/>
      <c r="F74" s="15"/>
      <c r="G74" s="15"/>
      <c r="H74" s="15"/>
      <c r="I74" s="15"/>
      <c r="J74" s="15" t="s">
        <v>198</v>
      </c>
    </row>
    <row r="75">
      <c r="B75" s="15"/>
      <c r="E75" s="15"/>
      <c r="F75" s="15"/>
      <c r="G75" s="15"/>
      <c r="H75" s="15"/>
      <c r="I75" s="15"/>
      <c r="J75" s="15" t="s">
        <v>198</v>
      </c>
    </row>
    <row r="76">
      <c r="B76" s="15"/>
      <c r="E76" s="15"/>
      <c r="F76" s="15"/>
      <c r="G76" s="15"/>
      <c r="H76" s="15"/>
      <c r="I76" s="15"/>
      <c r="J76" s="15" t="s">
        <v>198</v>
      </c>
    </row>
    <row r="77">
      <c r="B77" s="15"/>
      <c r="E77" s="15"/>
      <c r="F77" s="15"/>
      <c r="G77" s="15"/>
      <c r="H77" s="15"/>
      <c r="I77" s="15"/>
      <c r="J77" s="15" t="s">
        <v>198</v>
      </c>
    </row>
    <row r="78">
      <c r="B78" s="15"/>
      <c r="E78" s="15"/>
      <c r="F78" s="15"/>
      <c r="G78" s="15"/>
      <c r="H78" s="15"/>
      <c r="I78" s="15"/>
      <c r="J78" s="15" t="s">
        <v>198</v>
      </c>
    </row>
    <row r="79">
      <c r="B79" s="15"/>
      <c r="E79" s="15"/>
      <c r="F79" s="15"/>
      <c r="G79" s="15"/>
      <c r="H79" s="15"/>
      <c r="I79" s="15"/>
      <c r="J79" s="15" t="s">
        <v>198</v>
      </c>
    </row>
    <row r="80">
      <c r="B80" s="15"/>
      <c r="E80" s="15"/>
      <c r="F80" s="15"/>
      <c r="G80" s="15"/>
      <c r="H80" s="15"/>
      <c r="I80" s="15"/>
      <c r="J80" s="15" t="s">
        <v>198</v>
      </c>
    </row>
    <row r="81">
      <c r="B81" s="15"/>
      <c r="E81" s="15"/>
      <c r="F81" s="15"/>
      <c r="G81" s="15"/>
      <c r="H81" s="15"/>
      <c r="I81" s="15"/>
      <c r="J81" s="15" t="s">
        <v>198</v>
      </c>
    </row>
    <row r="82">
      <c r="B82" s="15"/>
      <c r="E82" s="15"/>
      <c r="F82" s="15"/>
      <c r="G82" s="15"/>
      <c r="H82" s="15"/>
      <c r="I82" s="15"/>
      <c r="J82" s="15" t="s">
        <v>198</v>
      </c>
    </row>
    <row r="83">
      <c r="B83" s="15"/>
      <c r="E83" s="15"/>
      <c r="F83" s="15"/>
      <c r="G83" s="15"/>
      <c r="H83" s="15"/>
      <c r="I83" s="15"/>
      <c r="J83" s="15" t="s">
        <v>198</v>
      </c>
    </row>
    <row r="84">
      <c r="B84" s="15"/>
      <c r="E84" s="15"/>
      <c r="F84" s="15"/>
      <c r="G84" s="15"/>
      <c r="H84" s="15"/>
      <c r="I84" s="15"/>
      <c r="J84" s="15" t="s">
        <v>198</v>
      </c>
    </row>
    <row r="85">
      <c r="B85" s="15"/>
      <c r="E85" s="15"/>
      <c r="F85" s="15"/>
      <c r="G85" s="15"/>
      <c r="H85" s="15"/>
      <c r="I85" s="15"/>
      <c r="J85" s="15" t="s">
        <v>198</v>
      </c>
    </row>
    <row r="86">
      <c r="B86" s="15"/>
      <c r="E86" s="15"/>
      <c r="F86" s="15"/>
      <c r="G86" s="15"/>
      <c r="H86" s="15"/>
      <c r="I86" s="15"/>
      <c r="J86" s="15" t="s">
        <v>198</v>
      </c>
    </row>
    <row r="87">
      <c r="B87" s="15"/>
      <c r="E87" s="15"/>
      <c r="F87" s="15"/>
      <c r="G87" s="15"/>
      <c r="H87" s="15"/>
      <c r="I87" s="15"/>
      <c r="J87" s="15" t="s">
        <v>198</v>
      </c>
    </row>
    <row r="88">
      <c r="B88" s="15"/>
      <c r="E88" s="15"/>
      <c r="F88" s="15"/>
      <c r="G88" s="15"/>
      <c r="H88" s="15"/>
      <c r="I88" s="15"/>
      <c r="J88" s="15" t="s">
        <v>198</v>
      </c>
    </row>
    <row r="89">
      <c r="B89" s="15"/>
      <c r="E89" s="15"/>
      <c r="F89" s="15"/>
      <c r="G89" s="15"/>
      <c r="H89" s="15"/>
      <c r="I89" s="15"/>
      <c r="J89" s="15" t="s">
        <v>198</v>
      </c>
    </row>
    <row r="90">
      <c r="B90" s="15"/>
      <c r="E90" s="15"/>
      <c r="F90" s="15"/>
      <c r="G90" s="15"/>
      <c r="H90" s="15"/>
      <c r="I90" s="15"/>
      <c r="J90" s="15" t="s">
        <v>198</v>
      </c>
    </row>
    <row r="91">
      <c r="B91" s="15"/>
      <c r="E91" s="15"/>
      <c r="F91" s="15"/>
      <c r="G91" s="15"/>
      <c r="H91" s="15"/>
      <c r="I91" s="15"/>
      <c r="J91" s="15" t="s">
        <v>198</v>
      </c>
    </row>
    <row r="92">
      <c r="B92" s="15"/>
      <c r="E92" s="15"/>
      <c r="F92" s="15"/>
      <c r="G92" s="15"/>
      <c r="H92" s="15"/>
      <c r="I92" s="15"/>
      <c r="J92" s="15" t="s">
        <v>198</v>
      </c>
    </row>
    <row r="93">
      <c r="B93" s="15"/>
      <c r="E93" s="15"/>
      <c r="F93" s="15"/>
      <c r="G93" s="15"/>
      <c r="H93" s="15"/>
      <c r="I93" s="15"/>
      <c r="J93" s="15" t="s">
        <v>198</v>
      </c>
    </row>
    <row r="94">
      <c r="B94" s="15"/>
      <c r="E94" s="15"/>
      <c r="F94" s="15"/>
      <c r="G94" s="15"/>
      <c r="H94" s="15"/>
      <c r="I94" s="15"/>
      <c r="J94" s="15" t="s">
        <v>198</v>
      </c>
    </row>
    <row r="95">
      <c r="B95" s="15"/>
      <c r="E95" s="15"/>
      <c r="F95" s="15"/>
      <c r="G95" s="15"/>
      <c r="H95" s="15"/>
      <c r="I95" s="15"/>
      <c r="J95" s="15" t="s">
        <v>198</v>
      </c>
    </row>
    <row r="96">
      <c r="B96" s="15"/>
      <c r="E96" s="15"/>
      <c r="F96" s="15"/>
      <c r="G96" s="15"/>
      <c r="H96" s="15"/>
      <c r="I96" s="15"/>
      <c r="J96" s="15" t="s">
        <v>198</v>
      </c>
    </row>
    <row r="97">
      <c r="B97" s="15"/>
      <c r="E97" s="15"/>
      <c r="F97" s="15"/>
      <c r="G97" s="15"/>
      <c r="H97" s="15"/>
      <c r="I97" s="15"/>
      <c r="J97" s="15" t="s">
        <v>198</v>
      </c>
    </row>
    <row r="98">
      <c r="B98" s="15"/>
      <c r="E98" s="15"/>
      <c r="F98" s="15"/>
      <c r="G98" s="15"/>
      <c r="H98" s="15"/>
      <c r="I98" s="15"/>
      <c r="J98" s="15" t="s">
        <v>198</v>
      </c>
    </row>
    <row r="99">
      <c r="B99" s="15"/>
      <c r="E99" s="15"/>
      <c r="F99" s="15"/>
      <c r="G99" s="15"/>
      <c r="H99" s="15"/>
      <c r="I99" s="15"/>
      <c r="J99" s="15" t="s">
        <v>198</v>
      </c>
    </row>
    <row r="100">
      <c r="B100" s="15"/>
      <c r="E100" s="15"/>
      <c r="F100" s="15"/>
      <c r="G100" s="15"/>
      <c r="H100" s="15"/>
      <c r="I100" s="15"/>
      <c r="J100" s="15" t="s">
        <v>198</v>
      </c>
    </row>
    <row r="101">
      <c r="B101" s="15"/>
      <c r="E101" s="15"/>
      <c r="F101" s="15"/>
      <c r="G101" s="15"/>
      <c r="H101" s="15"/>
      <c r="I101" s="15"/>
      <c r="J101" s="15" t="s">
        <v>198</v>
      </c>
    </row>
    <row r="102">
      <c r="J102" s="15" t="s">
        <v>198</v>
      </c>
    </row>
    <row r="103">
      <c r="J103" s="15" t="s">
        <v>198</v>
      </c>
    </row>
    <row r="104">
      <c r="J104" s="15" t="s">
        <v>198</v>
      </c>
    </row>
    <row r="105">
      <c r="J105" s="15" t="s">
        <v>198</v>
      </c>
    </row>
    <row r="106">
      <c r="J106" s="15" t="s">
        <v>198</v>
      </c>
    </row>
    <row r="107">
      <c r="J107" s="15" t="s">
        <v>198</v>
      </c>
    </row>
    <row r="108">
      <c r="J108" s="15" t="s">
        <v>198</v>
      </c>
    </row>
    <row r="109">
      <c r="J109" s="15" t="s">
        <v>198</v>
      </c>
    </row>
    <row r="110">
      <c r="J110" s="15" t="s">
        <v>198</v>
      </c>
    </row>
    <row r="111">
      <c r="J111" s="15" t="s">
        <v>198</v>
      </c>
    </row>
    <row r="112">
      <c r="J112" s="15" t="s">
        <v>198</v>
      </c>
    </row>
    <row r="113">
      <c r="J113" s="15" t="s">
        <v>198</v>
      </c>
    </row>
    <row r="114">
      <c r="J114" s="15" t="s">
        <v>198</v>
      </c>
    </row>
    <row r="115">
      <c r="J115" s="15" t="s">
        <v>198</v>
      </c>
    </row>
    <row r="116">
      <c r="J116" s="15" t="s">
        <v>198</v>
      </c>
    </row>
    <row r="117">
      <c r="J117" s="15" t="s">
        <v>198</v>
      </c>
    </row>
    <row r="118">
      <c r="J118" s="15" t="s">
        <v>198</v>
      </c>
    </row>
    <row r="119">
      <c r="J119" s="15" t="s">
        <v>198</v>
      </c>
    </row>
    <row r="120">
      <c r="J120" s="15" t="s">
        <v>198</v>
      </c>
    </row>
    <row r="121">
      <c r="J121" s="15" t="s">
        <v>198</v>
      </c>
    </row>
    <row r="122">
      <c r="J122" s="15" t="s">
        <v>198</v>
      </c>
    </row>
    <row r="123">
      <c r="J123" s="15" t="s">
        <v>198</v>
      </c>
    </row>
    <row r="124">
      <c r="J124" s="15" t="s">
        <v>198</v>
      </c>
    </row>
    <row r="125">
      <c r="J125" s="15" t="s">
        <v>198</v>
      </c>
    </row>
    <row r="126">
      <c r="J126" s="15" t="s">
        <v>198</v>
      </c>
    </row>
    <row r="127">
      <c r="J127" s="15" t="s">
        <v>198</v>
      </c>
    </row>
    <row r="128">
      <c r="J128" s="15" t="s">
        <v>198</v>
      </c>
    </row>
    <row r="129">
      <c r="J129" s="15" t="s">
        <v>198</v>
      </c>
    </row>
    <row r="130">
      <c r="J130" s="15" t="s">
        <v>198</v>
      </c>
    </row>
    <row r="131">
      <c r="J131" s="15" t="s">
        <v>198</v>
      </c>
    </row>
    <row r="132">
      <c r="J132" s="15" t="s">
        <v>198</v>
      </c>
    </row>
    <row r="133">
      <c r="J133" s="15" t="s">
        <v>198</v>
      </c>
    </row>
    <row r="134">
      <c r="J134" s="15" t="s">
        <v>198</v>
      </c>
    </row>
    <row r="135">
      <c r="J135" s="15" t="s">
        <v>198</v>
      </c>
    </row>
    <row r="136">
      <c r="J136" s="15" t="s">
        <v>198</v>
      </c>
    </row>
    <row r="137">
      <c r="J137" s="15" t="s">
        <v>198</v>
      </c>
    </row>
    <row r="138">
      <c r="J138" s="15" t="s">
        <v>198</v>
      </c>
    </row>
    <row r="139">
      <c r="J139" s="15" t="s">
        <v>198</v>
      </c>
    </row>
    <row r="140">
      <c r="J140" s="15" t="s">
        <v>198</v>
      </c>
    </row>
    <row r="141">
      <c r="J141" s="15" t="s">
        <v>198</v>
      </c>
    </row>
    <row r="142">
      <c r="J142" s="15" t="s">
        <v>198</v>
      </c>
    </row>
    <row r="143">
      <c r="J143" s="15" t="s">
        <v>198</v>
      </c>
    </row>
    <row r="144">
      <c r="J144" s="15" t="s">
        <v>198</v>
      </c>
    </row>
    <row r="145">
      <c r="J145" s="15" t="s">
        <v>198</v>
      </c>
    </row>
    <row r="146">
      <c r="J146" s="15" t="s">
        <v>198</v>
      </c>
    </row>
    <row r="147">
      <c r="J147" s="15" t="s">
        <v>198</v>
      </c>
    </row>
    <row r="148">
      <c r="J148" s="15" t="s">
        <v>198</v>
      </c>
    </row>
    <row r="149">
      <c r="J149" s="15" t="s">
        <v>198</v>
      </c>
    </row>
    <row r="150">
      <c r="J150" s="15" t="s">
        <v>198</v>
      </c>
    </row>
    <row r="151">
      <c r="J151" s="15" t="s">
        <v>198</v>
      </c>
    </row>
    <row r="152">
      <c r="J152" s="15" t="s">
        <v>198</v>
      </c>
    </row>
    <row r="153">
      <c r="J153" s="15" t="s">
        <v>198</v>
      </c>
    </row>
    <row r="154">
      <c r="J154" s="15" t="s">
        <v>198</v>
      </c>
    </row>
    <row r="155">
      <c r="J155" s="15" t="s">
        <v>198</v>
      </c>
    </row>
    <row r="156">
      <c r="J156" s="15" t="s">
        <v>198</v>
      </c>
    </row>
    <row r="157">
      <c r="J157" s="15" t="s">
        <v>198</v>
      </c>
    </row>
    <row r="158">
      <c r="J158" s="15" t="s">
        <v>198</v>
      </c>
    </row>
    <row r="159">
      <c r="J159" s="15" t="s">
        <v>198</v>
      </c>
    </row>
    <row r="160">
      <c r="J160" s="15" t="s">
        <v>198</v>
      </c>
    </row>
    <row r="161">
      <c r="J161" s="15" t="s">
        <v>198</v>
      </c>
    </row>
    <row r="162">
      <c r="J162" s="15" t="s">
        <v>198</v>
      </c>
    </row>
    <row r="163">
      <c r="J163" s="15" t="s">
        <v>198</v>
      </c>
    </row>
    <row r="164">
      <c r="J164" s="15" t="s">
        <v>198</v>
      </c>
    </row>
    <row r="165">
      <c r="J165" s="15" t="s">
        <v>198</v>
      </c>
    </row>
    <row r="166">
      <c r="J166" s="15" t="s">
        <v>198</v>
      </c>
    </row>
    <row r="167">
      <c r="J167" s="15" t="s">
        <v>198</v>
      </c>
    </row>
    <row r="168">
      <c r="J168" s="15" t="s">
        <v>198</v>
      </c>
    </row>
    <row r="169">
      <c r="J169" s="15" t="s">
        <v>198</v>
      </c>
    </row>
    <row r="170">
      <c r="J170" s="15" t="s">
        <v>198</v>
      </c>
    </row>
    <row r="171">
      <c r="J171" s="15" t="s">
        <v>198</v>
      </c>
    </row>
    <row r="172">
      <c r="J172" s="15" t="s">
        <v>198</v>
      </c>
    </row>
    <row r="173">
      <c r="J173" s="15" t="s">
        <v>198</v>
      </c>
    </row>
    <row r="174">
      <c r="J174" s="15" t="s">
        <v>198</v>
      </c>
    </row>
    <row r="175">
      <c r="J175" s="15" t="s">
        <v>198</v>
      </c>
    </row>
    <row r="176">
      <c r="J176" s="15" t="s">
        <v>198</v>
      </c>
    </row>
    <row r="177">
      <c r="J177" s="15" t="s">
        <v>198</v>
      </c>
    </row>
    <row r="178">
      <c r="J178" s="15" t="s">
        <v>198</v>
      </c>
    </row>
    <row r="179">
      <c r="J179" s="15" t="s">
        <v>198</v>
      </c>
    </row>
    <row r="180">
      <c r="J180" s="15" t="s">
        <v>198</v>
      </c>
    </row>
    <row r="181">
      <c r="J181" s="15" t="s">
        <v>198</v>
      </c>
    </row>
    <row r="182">
      <c r="J182" s="15" t="s">
        <v>198</v>
      </c>
    </row>
    <row r="183">
      <c r="J183" s="15" t="s">
        <v>198</v>
      </c>
    </row>
    <row r="184">
      <c r="J184" s="15" t="s">
        <v>198</v>
      </c>
    </row>
    <row r="185">
      <c r="J185" s="15" t="s">
        <v>198</v>
      </c>
    </row>
    <row r="186">
      <c r="J186" s="15" t="s">
        <v>198</v>
      </c>
    </row>
    <row r="187">
      <c r="J187" s="15" t="s">
        <v>198</v>
      </c>
    </row>
    <row r="188">
      <c r="J188" s="15" t="s">
        <v>198</v>
      </c>
    </row>
    <row r="189">
      <c r="J189" s="15" t="s">
        <v>198</v>
      </c>
    </row>
    <row r="190">
      <c r="J190" s="15" t="s">
        <v>198</v>
      </c>
    </row>
    <row r="191">
      <c r="J191" s="15" t="s">
        <v>198</v>
      </c>
    </row>
    <row r="192">
      <c r="J192" s="15" t="s">
        <v>198</v>
      </c>
    </row>
    <row r="193">
      <c r="J193" s="15" t="s">
        <v>198</v>
      </c>
    </row>
    <row r="194">
      <c r="J194" s="15" t="s">
        <v>198</v>
      </c>
    </row>
    <row r="195">
      <c r="J195" s="15" t="s">
        <v>198</v>
      </c>
    </row>
    <row r="196">
      <c r="J196" s="15" t="s">
        <v>198</v>
      </c>
    </row>
    <row r="197">
      <c r="J197" s="15" t="s">
        <v>198</v>
      </c>
    </row>
    <row r="198">
      <c r="J198" s="15" t="s">
        <v>198</v>
      </c>
    </row>
    <row r="199">
      <c r="J199" s="15" t="s">
        <v>198</v>
      </c>
    </row>
    <row r="200">
      <c r="J200" s="15" t="s">
        <v>198</v>
      </c>
    </row>
    <row r="201">
      <c r="J201" s="15" t="s">
        <v>198</v>
      </c>
    </row>
    <row r="202">
      <c r="J202" s="15" t="s">
        <v>198</v>
      </c>
    </row>
    <row r="203">
      <c r="J203" s="15" t="s">
        <v>198</v>
      </c>
    </row>
    <row r="204">
      <c r="J204" s="15" t="s">
        <v>198</v>
      </c>
    </row>
    <row r="205">
      <c r="J205" s="15" t="s">
        <v>198</v>
      </c>
    </row>
    <row r="206">
      <c r="J206" s="15" t="s">
        <v>198</v>
      </c>
    </row>
    <row r="207">
      <c r="J207" s="15" t="s">
        <v>198</v>
      </c>
    </row>
    <row r="208">
      <c r="J208" s="15" t="s">
        <v>198</v>
      </c>
    </row>
    <row r="209">
      <c r="J209" s="15" t="s">
        <v>198</v>
      </c>
    </row>
    <row r="210">
      <c r="J210" s="15" t="s">
        <v>198</v>
      </c>
    </row>
    <row r="211">
      <c r="J211" s="15" t="s">
        <v>198</v>
      </c>
    </row>
    <row r="212">
      <c r="J212" s="15" t="s">
        <v>198</v>
      </c>
    </row>
    <row r="213">
      <c r="J213" s="15" t="s">
        <v>198</v>
      </c>
    </row>
    <row r="214">
      <c r="J214" s="15" t="s">
        <v>198</v>
      </c>
    </row>
    <row r="215">
      <c r="J215" s="15" t="s">
        <v>198</v>
      </c>
    </row>
    <row r="216">
      <c r="J216" s="15" t="s">
        <v>198</v>
      </c>
    </row>
    <row r="217">
      <c r="J217" s="15" t="s">
        <v>198</v>
      </c>
    </row>
    <row r="218">
      <c r="J218" s="15" t="s">
        <v>198</v>
      </c>
    </row>
    <row r="219">
      <c r="J219" s="15" t="s">
        <v>198</v>
      </c>
    </row>
    <row r="220">
      <c r="J220" s="15" t="s">
        <v>198</v>
      </c>
    </row>
    <row r="221">
      <c r="J221" s="15" t="s">
        <v>198</v>
      </c>
    </row>
    <row r="222">
      <c r="J222" s="15" t="s">
        <v>198</v>
      </c>
    </row>
    <row r="223">
      <c r="J223" s="15" t="s">
        <v>198</v>
      </c>
    </row>
    <row r="224">
      <c r="J224" s="15" t="s">
        <v>198</v>
      </c>
    </row>
    <row r="225">
      <c r="J225" s="15" t="s">
        <v>198</v>
      </c>
    </row>
    <row r="226">
      <c r="J226" s="15" t="s">
        <v>198</v>
      </c>
    </row>
    <row r="227">
      <c r="J227" s="15" t="s">
        <v>198</v>
      </c>
    </row>
    <row r="228">
      <c r="J228" s="15" t="s">
        <v>198</v>
      </c>
    </row>
    <row r="229">
      <c r="J229" s="15" t="s">
        <v>198</v>
      </c>
    </row>
    <row r="230">
      <c r="J230" s="15" t="s">
        <v>198</v>
      </c>
    </row>
    <row r="231">
      <c r="J231" s="15" t="s">
        <v>198</v>
      </c>
    </row>
    <row r="232">
      <c r="J232" s="15" t="s">
        <v>198</v>
      </c>
    </row>
    <row r="233">
      <c r="J233" s="15" t="s">
        <v>198</v>
      </c>
    </row>
    <row r="234">
      <c r="J234" s="15" t="s">
        <v>198</v>
      </c>
    </row>
    <row r="235">
      <c r="J235" s="15" t="s">
        <v>198</v>
      </c>
    </row>
    <row r="236">
      <c r="J236" s="15" t="s">
        <v>198</v>
      </c>
    </row>
    <row r="237">
      <c r="J237" s="15" t="s">
        <v>198</v>
      </c>
    </row>
    <row r="238">
      <c r="J238" s="15" t="s">
        <v>198</v>
      </c>
    </row>
    <row r="239">
      <c r="J239" s="15" t="s">
        <v>198</v>
      </c>
    </row>
    <row r="240">
      <c r="J240" s="15" t="s">
        <v>198</v>
      </c>
    </row>
    <row r="241">
      <c r="J241" s="15" t="s">
        <v>198</v>
      </c>
    </row>
    <row r="242">
      <c r="J242" s="15" t="s">
        <v>198</v>
      </c>
    </row>
    <row r="243">
      <c r="J243" s="15" t="s">
        <v>198</v>
      </c>
    </row>
    <row r="244">
      <c r="J244" s="15" t="s">
        <v>198</v>
      </c>
    </row>
    <row r="245">
      <c r="J245" s="15" t="s">
        <v>198</v>
      </c>
    </row>
    <row r="246">
      <c r="J246" s="15" t="s">
        <v>198</v>
      </c>
    </row>
    <row r="247">
      <c r="J247" s="15" t="s">
        <v>198</v>
      </c>
    </row>
    <row r="248">
      <c r="J248" s="15" t="s">
        <v>198</v>
      </c>
    </row>
    <row r="249">
      <c r="J249" s="15" t="s">
        <v>198</v>
      </c>
    </row>
    <row r="250">
      <c r="J250" s="15" t="s">
        <v>198</v>
      </c>
    </row>
    <row r="251">
      <c r="J251" s="15" t="s">
        <v>198</v>
      </c>
    </row>
    <row r="252">
      <c r="J252" s="15" t="s">
        <v>198</v>
      </c>
    </row>
    <row r="253">
      <c r="J253" s="15" t="s">
        <v>198</v>
      </c>
    </row>
    <row r="254">
      <c r="J254" s="15" t="s">
        <v>198</v>
      </c>
    </row>
    <row r="255">
      <c r="J255" s="15" t="s">
        <v>198</v>
      </c>
    </row>
    <row r="256">
      <c r="J256" s="15" t="s">
        <v>198</v>
      </c>
    </row>
    <row r="257">
      <c r="J257" s="15" t="s">
        <v>198</v>
      </c>
    </row>
    <row r="258">
      <c r="J258" s="15" t="s">
        <v>198</v>
      </c>
    </row>
    <row r="259">
      <c r="J259" s="15" t="s">
        <v>198</v>
      </c>
    </row>
    <row r="260">
      <c r="J260" s="15" t="s">
        <v>198</v>
      </c>
    </row>
    <row r="261">
      <c r="J261" s="15" t="s">
        <v>198</v>
      </c>
    </row>
    <row r="262">
      <c r="J262" s="15" t="s">
        <v>198</v>
      </c>
    </row>
    <row r="263">
      <c r="J263" s="15" t="s">
        <v>198</v>
      </c>
    </row>
    <row r="264">
      <c r="J264" s="15" t="s">
        <v>198</v>
      </c>
    </row>
    <row r="265">
      <c r="J265" s="15" t="s">
        <v>198</v>
      </c>
    </row>
    <row r="266">
      <c r="J266" s="15" t="s">
        <v>198</v>
      </c>
    </row>
    <row r="267">
      <c r="J267" s="15" t="s">
        <v>198</v>
      </c>
    </row>
    <row r="268">
      <c r="J268" s="15" t="s">
        <v>198</v>
      </c>
    </row>
    <row r="269">
      <c r="J269" s="15" t="s">
        <v>198</v>
      </c>
    </row>
    <row r="270">
      <c r="J270" s="15" t="s">
        <v>198</v>
      </c>
    </row>
    <row r="271">
      <c r="J271" s="15" t="s">
        <v>198</v>
      </c>
    </row>
    <row r="272">
      <c r="J272" s="15" t="s">
        <v>198</v>
      </c>
    </row>
    <row r="273">
      <c r="J273" s="15" t="s">
        <v>198</v>
      </c>
    </row>
    <row r="274">
      <c r="J274" s="15" t="s">
        <v>198</v>
      </c>
    </row>
    <row r="275">
      <c r="J275" s="15" t="s">
        <v>198</v>
      </c>
    </row>
    <row r="276">
      <c r="J276" s="15" t="s">
        <v>198</v>
      </c>
    </row>
    <row r="277">
      <c r="J277" s="15" t="s">
        <v>198</v>
      </c>
    </row>
    <row r="278">
      <c r="J278" s="15" t="s">
        <v>198</v>
      </c>
    </row>
    <row r="279">
      <c r="J279" s="15" t="s">
        <v>198</v>
      </c>
    </row>
    <row r="280">
      <c r="J280" s="15" t="s">
        <v>198</v>
      </c>
    </row>
    <row r="281">
      <c r="J281" s="15" t="s">
        <v>198</v>
      </c>
    </row>
    <row r="282">
      <c r="J282" s="15" t="s">
        <v>198</v>
      </c>
    </row>
    <row r="283">
      <c r="J283" s="15" t="s">
        <v>198</v>
      </c>
    </row>
    <row r="284">
      <c r="J284" s="15" t="s">
        <v>198</v>
      </c>
    </row>
    <row r="285">
      <c r="J285" s="15" t="s">
        <v>198</v>
      </c>
    </row>
    <row r="286">
      <c r="J286" s="15" t="s">
        <v>198</v>
      </c>
    </row>
    <row r="287">
      <c r="J287" s="15" t="s">
        <v>198</v>
      </c>
    </row>
    <row r="288">
      <c r="J288" s="15" t="s">
        <v>198</v>
      </c>
    </row>
    <row r="289">
      <c r="J289" s="15" t="s">
        <v>198</v>
      </c>
    </row>
    <row r="290">
      <c r="J290" s="15" t="s">
        <v>198</v>
      </c>
    </row>
    <row r="291">
      <c r="J291" s="15" t="s">
        <v>198</v>
      </c>
    </row>
    <row r="292">
      <c r="J292" s="15" t="s">
        <v>198</v>
      </c>
    </row>
    <row r="293">
      <c r="J293" s="15" t="s">
        <v>198</v>
      </c>
    </row>
    <row r="294">
      <c r="J294" s="15" t="s">
        <v>198</v>
      </c>
    </row>
    <row r="295">
      <c r="J295" s="15" t="s">
        <v>198</v>
      </c>
    </row>
    <row r="296">
      <c r="J296" s="15" t="s">
        <v>198</v>
      </c>
    </row>
    <row r="297">
      <c r="J297" s="15" t="s">
        <v>198</v>
      </c>
    </row>
    <row r="298">
      <c r="J298" s="15" t="s">
        <v>198</v>
      </c>
    </row>
    <row r="299">
      <c r="J299" s="15" t="s">
        <v>198</v>
      </c>
    </row>
    <row r="300">
      <c r="J300" s="15" t="s">
        <v>198</v>
      </c>
    </row>
    <row r="301">
      <c r="J301" s="15" t="s">
        <v>198</v>
      </c>
    </row>
    <row r="302">
      <c r="J302" s="15" t="s">
        <v>198</v>
      </c>
    </row>
    <row r="303">
      <c r="J303" s="15" t="s">
        <v>198</v>
      </c>
    </row>
    <row r="304">
      <c r="J304" s="15" t="s">
        <v>198</v>
      </c>
    </row>
    <row r="305">
      <c r="J305" s="15" t="s">
        <v>198</v>
      </c>
    </row>
    <row r="306">
      <c r="J306" s="15" t="s">
        <v>198</v>
      </c>
    </row>
    <row r="307">
      <c r="J307" s="15" t="s">
        <v>198</v>
      </c>
    </row>
    <row r="308">
      <c r="J308" s="15" t="s">
        <v>198</v>
      </c>
    </row>
    <row r="309">
      <c r="J309" s="15" t="s">
        <v>198</v>
      </c>
    </row>
    <row r="310">
      <c r="J310" s="15" t="s">
        <v>198</v>
      </c>
    </row>
    <row r="311">
      <c r="J311" s="15" t="s">
        <v>198</v>
      </c>
    </row>
    <row r="312">
      <c r="J312" s="15" t="s">
        <v>198</v>
      </c>
    </row>
    <row r="313">
      <c r="J313" s="15" t="s">
        <v>198</v>
      </c>
    </row>
    <row r="314">
      <c r="J314" s="15" t="s">
        <v>198</v>
      </c>
    </row>
    <row r="315">
      <c r="J315" s="15" t="s">
        <v>198</v>
      </c>
    </row>
    <row r="316">
      <c r="J316" s="15" t="s">
        <v>198</v>
      </c>
    </row>
    <row r="317">
      <c r="J317" s="15" t="s">
        <v>198</v>
      </c>
    </row>
    <row r="318">
      <c r="J318" s="15" t="s">
        <v>198</v>
      </c>
    </row>
    <row r="319">
      <c r="J319" s="15" t="s">
        <v>198</v>
      </c>
    </row>
    <row r="320">
      <c r="J320" s="15" t="s">
        <v>198</v>
      </c>
    </row>
    <row r="321">
      <c r="J321" s="15" t="s">
        <v>198</v>
      </c>
    </row>
    <row r="322">
      <c r="J322" s="15" t="s">
        <v>198</v>
      </c>
    </row>
    <row r="323">
      <c r="J323" s="15" t="s">
        <v>198</v>
      </c>
    </row>
    <row r="324">
      <c r="J324" s="15" t="s">
        <v>198</v>
      </c>
    </row>
    <row r="325">
      <c r="J325" s="15" t="s">
        <v>198</v>
      </c>
    </row>
    <row r="326">
      <c r="J326" s="15" t="s">
        <v>198</v>
      </c>
    </row>
    <row r="327">
      <c r="J327" s="15" t="s">
        <v>198</v>
      </c>
    </row>
    <row r="328">
      <c r="J328" s="15" t="s">
        <v>198</v>
      </c>
    </row>
    <row r="329">
      <c r="J329" s="15" t="s">
        <v>198</v>
      </c>
    </row>
    <row r="330">
      <c r="J330" s="15" t="s">
        <v>198</v>
      </c>
    </row>
    <row r="331">
      <c r="J331" s="15" t="s">
        <v>198</v>
      </c>
    </row>
    <row r="332">
      <c r="J332" s="15" t="s">
        <v>198</v>
      </c>
    </row>
    <row r="333">
      <c r="J333" s="15" t="s">
        <v>198</v>
      </c>
    </row>
    <row r="334">
      <c r="J334" s="15" t="s">
        <v>198</v>
      </c>
    </row>
    <row r="335">
      <c r="J335" s="15" t="s">
        <v>198</v>
      </c>
    </row>
    <row r="336">
      <c r="J336" s="15" t="s">
        <v>198</v>
      </c>
    </row>
    <row r="337">
      <c r="J337" s="15" t="s">
        <v>198</v>
      </c>
    </row>
    <row r="338">
      <c r="J338" s="15" t="s">
        <v>198</v>
      </c>
    </row>
    <row r="339">
      <c r="J339" s="15" t="s">
        <v>198</v>
      </c>
    </row>
    <row r="340">
      <c r="J340" s="15" t="s">
        <v>198</v>
      </c>
    </row>
    <row r="341">
      <c r="J341" s="15" t="s">
        <v>198</v>
      </c>
    </row>
    <row r="342">
      <c r="J342" s="15" t="s">
        <v>198</v>
      </c>
    </row>
    <row r="343">
      <c r="J343" s="15" t="s">
        <v>198</v>
      </c>
    </row>
    <row r="344">
      <c r="J344" s="15" t="s">
        <v>198</v>
      </c>
    </row>
    <row r="345">
      <c r="J345" s="15" t="s">
        <v>198</v>
      </c>
    </row>
    <row r="346">
      <c r="J346" s="15" t="s">
        <v>198</v>
      </c>
    </row>
    <row r="347">
      <c r="J347" s="15" t="s">
        <v>198</v>
      </c>
    </row>
    <row r="348">
      <c r="J348" s="15" t="s">
        <v>198</v>
      </c>
    </row>
    <row r="349">
      <c r="J349" s="15" t="s">
        <v>198</v>
      </c>
    </row>
    <row r="350">
      <c r="J350" s="15" t="s">
        <v>198</v>
      </c>
    </row>
    <row r="351">
      <c r="J351" s="15" t="s">
        <v>198</v>
      </c>
    </row>
    <row r="352">
      <c r="J352" s="15" t="s">
        <v>198</v>
      </c>
    </row>
    <row r="353">
      <c r="J353" s="15" t="s">
        <v>198</v>
      </c>
    </row>
    <row r="354">
      <c r="J354" s="15" t="s">
        <v>198</v>
      </c>
    </row>
    <row r="355">
      <c r="J355" s="15" t="s">
        <v>198</v>
      </c>
    </row>
    <row r="356">
      <c r="J356" s="15" t="s">
        <v>198</v>
      </c>
    </row>
    <row r="357">
      <c r="J357" s="15" t="s">
        <v>198</v>
      </c>
    </row>
    <row r="358">
      <c r="J358" s="15" t="s">
        <v>198</v>
      </c>
    </row>
    <row r="359">
      <c r="J359" s="15" t="s">
        <v>198</v>
      </c>
    </row>
    <row r="360">
      <c r="J360" s="15" t="s">
        <v>198</v>
      </c>
    </row>
    <row r="361">
      <c r="J361" s="15" t="s">
        <v>198</v>
      </c>
    </row>
    <row r="362">
      <c r="J362" s="15" t="s">
        <v>198</v>
      </c>
    </row>
    <row r="363">
      <c r="J363" s="15" t="s">
        <v>198</v>
      </c>
    </row>
    <row r="364">
      <c r="J364" s="15" t="s">
        <v>198</v>
      </c>
    </row>
    <row r="365">
      <c r="J365" s="15" t="s">
        <v>198</v>
      </c>
    </row>
    <row r="366">
      <c r="J366" s="15" t="s">
        <v>198</v>
      </c>
    </row>
    <row r="367">
      <c r="J367" s="15" t="s">
        <v>198</v>
      </c>
    </row>
    <row r="368">
      <c r="J368" s="15" t="s">
        <v>198</v>
      </c>
    </row>
    <row r="369">
      <c r="J369" s="15" t="s">
        <v>198</v>
      </c>
    </row>
    <row r="370">
      <c r="J370" s="15" t="s">
        <v>198</v>
      </c>
    </row>
    <row r="371">
      <c r="J371" s="15" t="s">
        <v>198</v>
      </c>
    </row>
    <row r="372">
      <c r="J372" s="15" t="s">
        <v>198</v>
      </c>
    </row>
    <row r="373">
      <c r="J373" s="15" t="s">
        <v>198</v>
      </c>
    </row>
    <row r="374">
      <c r="J374" s="15" t="s">
        <v>198</v>
      </c>
    </row>
    <row r="375">
      <c r="J375" s="15" t="s">
        <v>198</v>
      </c>
    </row>
    <row r="376">
      <c r="J376" s="15" t="s">
        <v>198</v>
      </c>
    </row>
    <row r="377">
      <c r="J377" s="15" t="s">
        <v>198</v>
      </c>
    </row>
    <row r="378">
      <c r="J378" s="15" t="s">
        <v>198</v>
      </c>
    </row>
    <row r="379">
      <c r="J379" s="15" t="s">
        <v>198</v>
      </c>
    </row>
    <row r="380">
      <c r="J380" s="15" t="s">
        <v>198</v>
      </c>
    </row>
    <row r="381">
      <c r="J381" s="15" t="s">
        <v>198</v>
      </c>
    </row>
    <row r="382">
      <c r="J382" s="15" t="s">
        <v>198</v>
      </c>
    </row>
    <row r="383">
      <c r="J383" s="15" t="s">
        <v>198</v>
      </c>
    </row>
    <row r="384">
      <c r="J384" s="15" t="s">
        <v>198</v>
      </c>
    </row>
    <row r="385">
      <c r="J385" s="15" t="s">
        <v>198</v>
      </c>
    </row>
    <row r="386">
      <c r="J386" s="15" t="s">
        <v>198</v>
      </c>
    </row>
    <row r="387">
      <c r="J387" s="15" t="s">
        <v>198</v>
      </c>
    </row>
    <row r="388">
      <c r="J388" s="15" t="s">
        <v>198</v>
      </c>
    </row>
    <row r="389">
      <c r="J389" s="15" t="s">
        <v>198</v>
      </c>
    </row>
    <row r="390">
      <c r="J390" s="15" t="s">
        <v>198</v>
      </c>
    </row>
    <row r="391">
      <c r="J391" s="15" t="s">
        <v>198</v>
      </c>
    </row>
    <row r="392">
      <c r="J392" s="15" t="s">
        <v>198</v>
      </c>
    </row>
    <row r="393">
      <c r="J393" s="15" t="s">
        <v>198</v>
      </c>
    </row>
    <row r="394">
      <c r="J394" s="15" t="s">
        <v>198</v>
      </c>
    </row>
    <row r="395">
      <c r="J395" s="15" t="s">
        <v>198</v>
      </c>
    </row>
    <row r="396">
      <c r="J396" s="15" t="s">
        <v>198</v>
      </c>
    </row>
    <row r="397">
      <c r="J397" s="15" t="s">
        <v>198</v>
      </c>
    </row>
    <row r="398">
      <c r="J398" s="15" t="s">
        <v>198</v>
      </c>
    </row>
    <row r="399">
      <c r="J399" s="15" t="s">
        <v>198</v>
      </c>
    </row>
    <row r="400">
      <c r="J400" s="15" t="s">
        <v>198</v>
      </c>
    </row>
    <row r="401">
      <c r="J401" s="15" t="s">
        <v>198</v>
      </c>
    </row>
    <row r="402">
      <c r="J402" s="15" t="s">
        <v>198</v>
      </c>
    </row>
    <row r="403">
      <c r="J403" s="15" t="s">
        <v>198</v>
      </c>
    </row>
    <row r="404">
      <c r="J404" s="15" t="s">
        <v>198</v>
      </c>
    </row>
    <row r="405">
      <c r="J405" s="15" t="s">
        <v>198</v>
      </c>
    </row>
    <row r="406">
      <c r="J406" s="15" t="s">
        <v>198</v>
      </c>
    </row>
    <row r="407">
      <c r="J407" s="15" t="s">
        <v>198</v>
      </c>
    </row>
    <row r="408">
      <c r="J408" s="15" t="s">
        <v>198</v>
      </c>
    </row>
    <row r="409">
      <c r="J409" s="15" t="s">
        <v>198</v>
      </c>
    </row>
    <row r="410">
      <c r="J410" s="15" t="s">
        <v>198</v>
      </c>
    </row>
    <row r="411">
      <c r="J411" s="15" t="s">
        <v>198</v>
      </c>
    </row>
    <row r="412">
      <c r="J412" s="15" t="s">
        <v>198</v>
      </c>
    </row>
    <row r="413">
      <c r="J413" s="15" t="s">
        <v>198</v>
      </c>
    </row>
    <row r="414">
      <c r="J414" s="15" t="s">
        <v>198</v>
      </c>
    </row>
    <row r="415">
      <c r="J415" s="15" t="s">
        <v>198</v>
      </c>
    </row>
    <row r="416">
      <c r="J416" s="15" t="s">
        <v>198</v>
      </c>
    </row>
    <row r="417">
      <c r="J417" s="15" t="s">
        <v>198</v>
      </c>
    </row>
    <row r="418">
      <c r="J418" s="15" t="s">
        <v>198</v>
      </c>
    </row>
    <row r="419">
      <c r="J419" s="15" t="s">
        <v>198</v>
      </c>
    </row>
    <row r="420">
      <c r="J420" s="15" t="s">
        <v>198</v>
      </c>
    </row>
    <row r="421">
      <c r="J421" s="15" t="s">
        <v>198</v>
      </c>
    </row>
    <row r="422">
      <c r="J422" s="15" t="s">
        <v>198</v>
      </c>
    </row>
    <row r="423">
      <c r="J423" s="15" t="s">
        <v>198</v>
      </c>
    </row>
    <row r="424">
      <c r="J424" s="15" t="s">
        <v>198</v>
      </c>
    </row>
    <row r="425">
      <c r="J425" s="15" t="s">
        <v>198</v>
      </c>
    </row>
    <row r="426">
      <c r="J426" s="15" t="s">
        <v>198</v>
      </c>
    </row>
    <row r="427">
      <c r="J427" s="15" t="s">
        <v>198</v>
      </c>
    </row>
    <row r="428">
      <c r="J428" s="15" t="s">
        <v>198</v>
      </c>
    </row>
    <row r="429">
      <c r="J429" s="15" t="s">
        <v>198</v>
      </c>
    </row>
    <row r="430">
      <c r="J430" s="15" t="s">
        <v>198</v>
      </c>
    </row>
    <row r="431">
      <c r="J431" s="15" t="s">
        <v>198</v>
      </c>
    </row>
    <row r="432">
      <c r="J432" s="15" t="s">
        <v>198</v>
      </c>
    </row>
    <row r="433">
      <c r="J433" s="15" t="s">
        <v>198</v>
      </c>
    </row>
    <row r="434">
      <c r="J434" s="15" t="s">
        <v>198</v>
      </c>
    </row>
    <row r="435">
      <c r="J435" s="15" t="s">
        <v>198</v>
      </c>
    </row>
    <row r="436">
      <c r="J436" s="15" t="s">
        <v>198</v>
      </c>
    </row>
    <row r="437">
      <c r="J437" s="15" t="s">
        <v>198</v>
      </c>
    </row>
    <row r="438">
      <c r="J438" s="15" t="s">
        <v>198</v>
      </c>
    </row>
    <row r="439">
      <c r="J439" s="15" t="s">
        <v>198</v>
      </c>
    </row>
    <row r="440">
      <c r="J440" s="15" t="s">
        <v>198</v>
      </c>
    </row>
    <row r="441">
      <c r="J441" s="15" t="s">
        <v>198</v>
      </c>
    </row>
    <row r="442">
      <c r="J442" s="15" t="s">
        <v>198</v>
      </c>
    </row>
    <row r="443">
      <c r="J443" s="15" t="s">
        <v>198</v>
      </c>
    </row>
    <row r="444">
      <c r="J444" s="15" t="s">
        <v>198</v>
      </c>
    </row>
    <row r="445">
      <c r="J445" s="15" t="s">
        <v>198</v>
      </c>
    </row>
    <row r="446">
      <c r="J446" s="15" t="s">
        <v>198</v>
      </c>
    </row>
    <row r="447">
      <c r="J447" s="15" t="s">
        <v>198</v>
      </c>
    </row>
    <row r="448">
      <c r="J448" s="15" t="s">
        <v>198</v>
      </c>
    </row>
    <row r="449">
      <c r="J449" s="15" t="s">
        <v>198</v>
      </c>
    </row>
    <row r="450">
      <c r="J450" s="15" t="s">
        <v>198</v>
      </c>
    </row>
    <row r="451">
      <c r="J451" s="15" t="s">
        <v>198</v>
      </c>
    </row>
    <row r="452">
      <c r="J452" s="15" t="s">
        <v>198</v>
      </c>
    </row>
    <row r="453">
      <c r="J453" s="15" t="s">
        <v>198</v>
      </c>
    </row>
    <row r="454">
      <c r="J454" s="15" t="s">
        <v>198</v>
      </c>
    </row>
    <row r="455">
      <c r="J455" s="15" t="s">
        <v>198</v>
      </c>
    </row>
    <row r="456">
      <c r="J456" s="15" t="s">
        <v>198</v>
      </c>
    </row>
    <row r="457">
      <c r="J457" s="15" t="s">
        <v>198</v>
      </c>
    </row>
    <row r="458">
      <c r="J458" s="15" t="s">
        <v>198</v>
      </c>
    </row>
    <row r="459">
      <c r="J459" s="15" t="s">
        <v>198</v>
      </c>
    </row>
    <row r="460">
      <c r="J460" s="15" t="s">
        <v>198</v>
      </c>
    </row>
    <row r="461">
      <c r="J461" s="15" t="s">
        <v>198</v>
      </c>
    </row>
    <row r="462">
      <c r="J462" s="15" t="s">
        <v>198</v>
      </c>
    </row>
    <row r="463">
      <c r="J463" s="15" t="s">
        <v>198</v>
      </c>
    </row>
    <row r="464">
      <c r="J464" s="15" t="s">
        <v>198</v>
      </c>
    </row>
    <row r="465">
      <c r="J465" s="15" t="s">
        <v>198</v>
      </c>
    </row>
    <row r="466">
      <c r="J466" s="15" t="s">
        <v>198</v>
      </c>
    </row>
    <row r="467">
      <c r="J467" s="15" t="s">
        <v>198</v>
      </c>
    </row>
    <row r="468">
      <c r="J468" s="15" t="s">
        <v>198</v>
      </c>
    </row>
    <row r="469">
      <c r="J469" s="15" t="s">
        <v>198</v>
      </c>
    </row>
    <row r="470">
      <c r="J470" s="15" t="s">
        <v>198</v>
      </c>
    </row>
    <row r="471">
      <c r="J471" s="15" t="s">
        <v>198</v>
      </c>
    </row>
    <row r="472">
      <c r="J472" s="15" t="s">
        <v>198</v>
      </c>
    </row>
    <row r="473">
      <c r="J473" s="15" t="s">
        <v>198</v>
      </c>
    </row>
    <row r="474">
      <c r="J474" s="15" t="s">
        <v>198</v>
      </c>
    </row>
    <row r="475">
      <c r="J475" s="15" t="s">
        <v>198</v>
      </c>
    </row>
    <row r="476">
      <c r="J476" s="15" t="s">
        <v>198</v>
      </c>
    </row>
    <row r="477">
      <c r="J477" s="15" t="s">
        <v>198</v>
      </c>
    </row>
    <row r="478">
      <c r="J478" s="15" t="s">
        <v>198</v>
      </c>
    </row>
    <row r="479">
      <c r="J479" s="15" t="s">
        <v>198</v>
      </c>
    </row>
    <row r="480">
      <c r="J480" s="15" t="s">
        <v>198</v>
      </c>
    </row>
    <row r="481">
      <c r="J481" s="15" t="s">
        <v>198</v>
      </c>
    </row>
    <row r="482">
      <c r="J482" s="15" t="s">
        <v>198</v>
      </c>
    </row>
    <row r="483">
      <c r="J483" s="15" t="s">
        <v>198</v>
      </c>
    </row>
    <row r="484">
      <c r="J484" s="15" t="s">
        <v>198</v>
      </c>
    </row>
    <row r="485">
      <c r="J485" s="15" t="s">
        <v>198</v>
      </c>
    </row>
    <row r="486">
      <c r="J486" s="15" t="s">
        <v>198</v>
      </c>
    </row>
    <row r="487">
      <c r="J487" s="15" t="s">
        <v>198</v>
      </c>
    </row>
    <row r="488">
      <c r="J488" s="15" t="s">
        <v>198</v>
      </c>
    </row>
    <row r="489">
      <c r="J489" s="15" t="s">
        <v>198</v>
      </c>
    </row>
    <row r="490">
      <c r="J490" s="15" t="s">
        <v>198</v>
      </c>
    </row>
    <row r="491">
      <c r="J491" s="15" t="s">
        <v>198</v>
      </c>
    </row>
    <row r="492">
      <c r="J492" s="15" t="s">
        <v>198</v>
      </c>
    </row>
    <row r="493">
      <c r="J493" s="15" t="s">
        <v>198</v>
      </c>
    </row>
    <row r="494">
      <c r="J494" s="15" t="s">
        <v>198</v>
      </c>
    </row>
    <row r="495">
      <c r="J495" s="15" t="s">
        <v>198</v>
      </c>
    </row>
    <row r="496">
      <c r="J496" s="15" t="s">
        <v>198</v>
      </c>
    </row>
    <row r="497">
      <c r="J497" s="15" t="s">
        <v>198</v>
      </c>
    </row>
    <row r="498">
      <c r="J498" s="15" t="s">
        <v>198</v>
      </c>
    </row>
    <row r="499">
      <c r="J499" s="15" t="s">
        <v>198</v>
      </c>
    </row>
    <row r="500">
      <c r="J500" s="15" t="s">
        <v>198</v>
      </c>
    </row>
    <row r="501">
      <c r="J501" s="15" t="s">
        <v>198</v>
      </c>
    </row>
    <row r="502">
      <c r="J502" s="15" t="s">
        <v>198</v>
      </c>
    </row>
    <row r="503">
      <c r="J503" s="15" t="s">
        <v>198</v>
      </c>
    </row>
    <row r="504">
      <c r="J504" s="15" t="s">
        <v>198</v>
      </c>
    </row>
    <row r="505">
      <c r="J505" s="15" t="s">
        <v>198</v>
      </c>
    </row>
    <row r="506">
      <c r="J506" s="15" t="s">
        <v>198</v>
      </c>
    </row>
    <row r="507">
      <c r="J507" s="15" t="s">
        <v>198</v>
      </c>
    </row>
    <row r="508">
      <c r="J508" s="15" t="s">
        <v>198</v>
      </c>
    </row>
    <row r="509">
      <c r="J509" s="15" t="s">
        <v>198</v>
      </c>
    </row>
    <row r="510">
      <c r="J510" s="15" t="s">
        <v>198</v>
      </c>
    </row>
    <row r="511">
      <c r="J511" s="15" t="s">
        <v>198</v>
      </c>
    </row>
    <row r="512">
      <c r="J512" s="15" t="s">
        <v>198</v>
      </c>
    </row>
    <row r="513">
      <c r="J513" s="15" t="s">
        <v>198</v>
      </c>
    </row>
    <row r="514">
      <c r="J514" s="15" t="s">
        <v>198</v>
      </c>
    </row>
    <row r="515">
      <c r="J515" s="15" t="s">
        <v>198</v>
      </c>
    </row>
    <row r="516">
      <c r="J516" s="15" t="s">
        <v>198</v>
      </c>
    </row>
    <row r="517">
      <c r="J517" s="15" t="s">
        <v>198</v>
      </c>
    </row>
    <row r="518">
      <c r="J518" s="15" t="s">
        <v>198</v>
      </c>
    </row>
    <row r="519">
      <c r="J519" s="15" t="s">
        <v>198</v>
      </c>
    </row>
    <row r="520">
      <c r="J520" s="15" t="s">
        <v>198</v>
      </c>
    </row>
    <row r="521">
      <c r="J521" s="15" t="s">
        <v>198</v>
      </c>
    </row>
    <row r="522">
      <c r="J522" s="15" t="s">
        <v>198</v>
      </c>
    </row>
    <row r="523">
      <c r="J523" s="15" t="s">
        <v>198</v>
      </c>
    </row>
    <row r="524">
      <c r="J524" s="15" t="s">
        <v>198</v>
      </c>
    </row>
    <row r="525">
      <c r="J525" s="15" t="s">
        <v>198</v>
      </c>
    </row>
    <row r="526">
      <c r="J526" s="15" t="s">
        <v>198</v>
      </c>
    </row>
    <row r="527">
      <c r="J527" s="15" t="s">
        <v>198</v>
      </c>
    </row>
    <row r="528">
      <c r="J528" s="15" t="s">
        <v>198</v>
      </c>
    </row>
    <row r="529">
      <c r="J529" s="15" t="s">
        <v>198</v>
      </c>
    </row>
    <row r="530">
      <c r="J530" s="15" t="s">
        <v>198</v>
      </c>
    </row>
    <row r="531">
      <c r="J531" s="15" t="s">
        <v>198</v>
      </c>
    </row>
    <row r="532">
      <c r="J532" s="15" t="s">
        <v>198</v>
      </c>
    </row>
    <row r="533">
      <c r="J533" s="15" t="s">
        <v>198</v>
      </c>
    </row>
    <row r="534">
      <c r="J534" s="15" t="s">
        <v>198</v>
      </c>
    </row>
    <row r="535">
      <c r="J535" s="15" t="s">
        <v>198</v>
      </c>
    </row>
    <row r="536">
      <c r="J536" s="15" t="s">
        <v>198</v>
      </c>
    </row>
    <row r="537">
      <c r="J537" s="15" t="s">
        <v>198</v>
      </c>
    </row>
    <row r="538">
      <c r="J538" s="15" t="s">
        <v>198</v>
      </c>
    </row>
    <row r="539">
      <c r="J539" s="15" t="s">
        <v>198</v>
      </c>
    </row>
    <row r="540">
      <c r="J540" s="15" t="s">
        <v>198</v>
      </c>
    </row>
    <row r="541">
      <c r="J541" s="15" t="s">
        <v>198</v>
      </c>
    </row>
    <row r="542">
      <c r="J542" s="15" t="s">
        <v>198</v>
      </c>
    </row>
    <row r="543">
      <c r="J543" s="15" t="s">
        <v>198</v>
      </c>
    </row>
    <row r="544">
      <c r="J544" s="15" t="s">
        <v>198</v>
      </c>
    </row>
    <row r="545">
      <c r="J545" s="15" t="s">
        <v>198</v>
      </c>
    </row>
    <row r="546">
      <c r="J546" s="15" t="s">
        <v>198</v>
      </c>
    </row>
    <row r="547">
      <c r="J547" s="15" t="s">
        <v>198</v>
      </c>
    </row>
    <row r="548">
      <c r="J548" s="15" t="s">
        <v>198</v>
      </c>
    </row>
    <row r="549">
      <c r="J549" s="15" t="s">
        <v>198</v>
      </c>
    </row>
    <row r="550">
      <c r="J550" s="15" t="s">
        <v>198</v>
      </c>
    </row>
    <row r="551">
      <c r="J551" s="15" t="s">
        <v>198</v>
      </c>
    </row>
    <row r="552">
      <c r="J552" s="15" t="s">
        <v>198</v>
      </c>
    </row>
    <row r="553">
      <c r="J553" s="15" t="s">
        <v>198</v>
      </c>
    </row>
    <row r="554">
      <c r="J554" s="15" t="s">
        <v>198</v>
      </c>
    </row>
    <row r="555">
      <c r="J555" s="15" t="s">
        <v>198</v>
      </c>
    </row>
    <row r="556">
      <c r="J556" s="15" t="s">
        <v>198</v>
      </c>
    </row>
    <row r="557">
      <c r="J557" s="15" t="s">
        <v>198</v>
      </c>
    </row>
    <row r="558">
      <c r="J558" s="15" t="s">
        <v>198</v>
      </c>
    </row>
    <row r="559">
      <c r="J559" s="15" t="s">
        <v>198</v>
      </c>
    </row>
    <row r="560">
      <c r="J560" s="15" t="s">
        <v>198</v>
      </c>
    </row>
    <row r="561">
      <c r="J561" s="15" t="s">
        <v>198</v>
      </c>
    </row>
    <row r="562">
      <c r="J562" s="15" t="s">
        <v>198</v>
      </c>
    </row>
    <row r="563">
      <c r="J563" s="15" t="s">
        <v>198</v>
      </c>
    </row>
    <row r="564">
      <c r="J564" s="15" t="s">
        <v>198</v>
      </c>
    </row>
    <row r="565">
      <c r="J565" s="15" t="s">
        <v>198</v>
      </c>
    </row>
    <row r="566">
      <c r="J566" s="15" t="s">
        <v>198</v>
      </c>
    </row>
    <row r="567">
      <c r="J567" s="15" t="s">
        <v>198</v>
      </c>
    </row>
    <row r="568">
      <c r="J568" s="15" t="s">
        <v>198</v>
      </c>
    </row>
    <row r="569">
      <c r="J569" s="15" t="s">
        <v>198</v>
      </c>
    </row>
    <row r="570">
      <c r="J570" s="15" t="s">
        <v>198</v>
      </c>
    </row>
    <row r="571">
      <c r="J571" s="15" t="s">
        <v>198</v>
      </c>
    </row>
    <row r="572">
      <c r="J572" s="15" t="s">
        <v>198</v>
      </c>
    </row>
    <row r="573">
      <c r="J573" s="15" t="s">
        <v>198</v>
      </c>
    </row>
    <row r="574">
      <c r="J574" s="15" t="s">
        <v>198</v>
      </c>
    </row>
    <row r="575">
      <c r="J575" s="15" t="s">
        <v>198</v>
      </c>
    </row>
    <row r="576">
      <c r="J576" s="15" t="s">
        <v>198</v>
      </c>
    </row>
    <row r="577">
      <c r="J577" s="15" t="s">
        <v>198</v>
      </c>
    </row>
    <row r="578">
      <c r="J578" s="15" t="s">
        <v>198</v>
      </c>
    </row>
    <row r="579">
      <c r="J579" s="15" t="s">
        <v>198</v>
      </c>
    </row>
    <row r="580">
      <c r="J580" s="15" t="s">
        <v>198</v>
      </c>
    </row>
    <row r="581">
      <c r="J581" s="15" t="s">
        <v>198</v>
      </c>
    </row>
    <row r="582">
      <c r="J582" s="15" t="s">
        <v>198</v>
      </c>
    </row>
    <row r="583">
      <c r="J583" s="15" t="s">
        <v>198</v>
      </c>
    </row>
    <row r="584">
      <c r="J584" s="15" t="s">
        <v>198</v>
      </c>
    </row>
    <row r="585">
      <c r="J585" s="15" t="s">
        <v>198</v>
      </c>
    </row>
    <row r="586">
      <c r="J586" s="15" t="s">
        <v>198</v>
      </c>
    </row>
    <row r="587">
      <c r="J587" s="15" t="s">
        <v>198</v>
      </c>
    </row>
    <row r="588">
      <c r="J588" s="15" t="s">
        <v>198</v>
      </c>
    </row>
    <row r="589">
      <c r="J589" s="15" t="s">
        <v>198</v>
      </c>
    </row>
    <row r="590">
      <c r="J590" s="15" t="s">
        <v>198</v>
      </c>
    </row>
    <row r="591">
      <c r="J591" s="15" t="s">
        <v>198</v>
      </c>
    </row>
    <row r="592">
      <c r="J592" s="15" t="s">
        <v>198</v>
      </c>
    </row>
    <row r="593">
      <c r="J593" s="15" t="s">
        <v>198</v>
      </c>
    </row>
    <row r="594">
      <c r="J594" s="15" t="s">
        <v>198</v>
      </c>
    </row>
    <row r="595">
      <c r="J595" s="15" t="s">
        <v>198</v>
      </c>
    </row>
    <row r="596">
      <c r="J596" s="15" t="s">
        <v>198</v>
      </c>
    </row>
    <row r="597">
      <c r="J597" s="15" t="s">
        <v>198</v>
      </c>
    </row>
    <row r="598">
      <c r="J598" s="15" t="s">
        <v>198</v>
      </c>
    </row>
    <row r="599">
      <c r="J599" s="15" t="s">
        <v>198</v>
      </c>
    </row>
    <row r="600">
      <c r="J600" s="15" t="s">
        <v>198</v>
      </c>
    </row>
    <row r="601">
      <c r="J601" s="15" t="s">
        <v>198</v>
      </c>
    </row>
    <row r="602">
      <c r="J602" s="15" t="s">
        <v>198</v>
      </c>
    </row>
    <row r="603">
      <c r="J603" s="15" t="s">
        <v>198</v>
      </c>
    </row>
    <row r="604">
      <c r="J604" s="15" t="s">
        <v>198</v>
      </c>
    </row>
    <row r="605">
      <c r="J605" s="15" t="s">
        <v>198</v>
      </c>
    </row>
    <row r="606">
      <c r="J606" s="15" t="s">
        <v>198</v>
      </c>
    </row>
    <row r="607">
      <c r="J607" s="15" t="s">
        <v>198</v>
      </c>
    </row>
    <row r="608">
      <c r="J608" s="15" t="s">
        <v>198</v>
      </c>
    </row>
    <row r="609">
      <c r="J609" s="15" t="s">
        <v>198</v>
      </c>
    </row>
    <row r="610">
      <c r="J610" s="15" t="s">
        <v>198</v>
      </c>
    </row>
    <row r="611">
      <c r="J611" s="15" t="s">
        <v>198</v>
      </c>
    </row>
    <row r="612">
      <c r="J612" s="15" t="s">
        <v>198</v>
      </c>
    </row>
    <row r="613">
      <c r="J613" s="15" t="s">
        <v>198</v>
      </c>
    </row>
    <row r="614">
      <c r="J614" s="15" t="s">
        <v>198</v>
      </c>
    </row>
    <row r="615">
      <c r="J615" s="15" t="s">
        <v>198</v>
      </c>
    </row>
    <row r="616">
      <c r="J616" s="15" t="s">
        <v>198</v>
      </c>
    </row>
    <row r="617">
      <c r="J617" s="15" t="s">
        <v>198</v>
      </c>
    </row>
    <row r="618">
      <c r="J618" s="15" t="s">
        <v>198</v>
      </c>
    </row>
    <row r="619">
      <c r="J619" s="15" t="s">
        <v>198</v>
      </c>
    </row>
    <row r="620">
      <c r="J620" s="15" t="s">
        <v>198</v>
      </c>
    </row>
    <row r="621">
      <c r="J621" s="15" t="s">
        <v>198</v>
      </c>
    </row>
    <row r="622">
      <c r="J622" s="15" t="s">
        <v>198</v>
      </c>
    </row>
    <row r="623">
      <c r="J623" s="15" t="s">
        <v>198</v>
      </c>
    </row>
    <row r="624">
      <c r="J624" s="15" t="s">
        <v>198</v>
      </c>
    </row>
    <row r="625">
      <c r="J625" s="15" t="s">
        <v>198</v>
      </c>
    </row>
    <row r="626">
      <c r="J626" s="15" t="s">
        <v>198</v>
      </c>
    </row>
    <row r="627">
      <c r="J627" s="15" t="s">
        <v>198</v>
      </c>
    </row>
    <row r="628">
      <c r="J628" s="15" t="s">
        <v>198</v>
      </c>
    </row>
    <row r="629">
      <c r="J629" s="15" t="s">
        <v>198</v>
      </c>
    </row>
    <row r="630">
      <c r="J630" s="15" t="s">
        <v>198</v>
      </c>
    </row>
    <row r="631">
      <c r="J631" s="15" t="s">
        <v>198</v>
      </c>
    </row>
    <row r="632">
      <c r="J632" s="15" t="s">
        <v>198</v>
      </c>
    </row>
    <row r="633">
      <c r="J633" s="15" t="s">
        <v>198</v>
      </c>
    </row>
    <row r="634">
      <c r="J634" s="15" t="s">
        <v>198</v>
      </c>
    </row>
    <row r="635">
      <c r="J635" s="15" t="s">
        <v>198</v>
      </c>
    </row>
    <row r="636">
      <c r="J636" s="15" t="s">
        <v>198</v>
      </c>
    </row>
    <row r="637">
      <c r="J637" s="15" t="s">
        <v>198</v>
      </c>
    </row>
    <row r="638">
      <c r="J638" s="15" t="s">
        <v>198</v>
      </c>
    </row>
    <row r="639">
      <c r="J639" s="15" t="s">
        <v>198</v>
      </c>
    </row>
    <row r="640">
      <c r="J640" s="15" t="s">
        <v>198</v>
      </c>
    </row>
    <row r="641">
      <c r="J641" s="15" t="s">
        <v>198</v>
      </c>
    </row>
    <row r="642">
      <c r="J642" s="15" t="s">
        <v>198</v>
      </c>
    </row>
    <row r="643">
      <c r="J643" s="15" t="s">
        <v>198</v>
      </c>
    </row>
    <row r="644">
      <c r="J644" s="15" t="s">
        <v>198</v>
      </c>
    </row>
    <row r="645">
      <c r="J645" s="15" t="s">
        <v>198</v>
      </c>
    </row>
    <row r="646">
      <c r="J646" s="15" t="s">
        <v>198</v>
      </c>
    </row>
    <row r="647">
      <c r="J647" s="15" t="s">
        <v>198</v>
      </c>
    </row>
    <row r="648">
      <c r="J648" s="15" t="s">
        <v>198</v>
      </c>
    </row>
    <row r="649">
      <c r="J649" s="15" t="s">
        <v>198</v>
      </c>
    </row>
    <row r="650">
      <c r="J650" s="15" t="s">
        <v>198</v>
      </c>
    </row>
    <row r="651">
      <c r="J651" s="15" t="s">
        <v>198</v>
      </c>
    </row>
    <row r="652">
      <c r="J652" s="15" t="s">
        <v>198</v>
      </c>
    </row>
    <row r="653">
      <c r="J653" s="15" t="s">
        <v>198</v>
      </c>
    </row>
    <row r="654">
      <c r="J654" s="15" t="s">
        <v>198</v>
      </c>
    </row>
    <row r="655">
      <c r="J655" s="15" t="s">
        <v>198</v>
      </c>
    </row>
    <row r="656">
      <c r="J656" s="15" t="s">
        <v>198</v>
      </c>
    </row>
    <row r="657">
      <c r="J657" s="15" t="s">
        <v>198</v>
      </c>
    </row>
    <row r="658">
      <c r="J658" s="15" t="s">
        <v>198</v>
      </c>
    </row>
    <row r="659">
      <c r="J659" s="15" t="s">
        <v>198</v>
      </c>
    </row>
    <row r="660">
      <c r="J660" s="15" t="s">
        <v>198</v>
      </c>
    </row>
    <row r="661">
      <c r="J661" s="15" t="s">
        <v>198</v>
      </c>
    </row>
    <row r="662">
      <c r="J662" s="15" t="s">
        <v>198</v>
      </c>
    </row>
    <row r="663">
      <c r="J663" s="15" t="s">
        <v>198</v>
      </c>
    </row>
    <row r="664">
      <c r="J664" s="15" t="s">
        <v>198</v>
      </c>
    </row>
    <row r="665">
      <c r="J665" s="15" t="s">
        <v>198</v>
      </c>
    </row>
    <row r="666">
      <c r="J666" s="15" t="s">
        <v>198</v>
      </c>
    </row>
    <row r="667">
      <c r="J667" s="15" t="s">
        <v>198</v>
      </c>
    </row>
    <row r="668">
      <c r="J668" s="15" t="s">
        <v>198</v>
      </c>
    </row>
    <row r="669">
      <c r="J669" s="15" t="s">
        <v>198</v>
      </c>
    </row>
    <row r="670">
      <c r="J670" s="15" t="s">
        <v>198</v>
      </c>
    </row>
    <row r="671">
      <c r="J671" s="15" t="s">
        <v>198</v>
      </c>
    </row>
    <row r="672">
      <c r="J672" s="15" t="s">
        <v>198</v>
      </c>
    </row>
    <row r="673">
      <c r="J673" s="15" t="s">
        <v>198</v>
      </c>
    </row>
    <row r="674">
      <c r="J674" s="15" t="s">
        <v>198</v>
      </c>
    </row>
    <row r="675">
      <c r="J675" s="15" t="s">
        <v>198</v>
      </c>
    </row>
    <row r="676">
      <c r="J676" s="15" t="s">
        <v>198</v>
      </c>
    </row>
    <row r="677">
      <c r="J677" s="15" t="s">
        <v>198</v>
      </c>
    </row>
    <row r="678">
      <c r="J678" s="15" t="s">
        <v>198</v>
      </c>
    </row>
    <row r="679">
      <c r="J679" s="15" t="s">
        <v>198</v>
      </c>
    </row>
    <row r="680">
      <c r="J680" s="15" t="s">
        <v>198</v>
      </c>
    </row>
    <row r="681">
      <c r="J681" s="15" t="s">
        <v>198</v>
      </c>
    </row>
    <row r="682">
      <c r="J682" s="15" t="s">
        <v>198</v>
      </c>
    </row>
    <row r="683">
      <c r="J683" s="15" t="s">
        <v>198</v>
      </c>
    </row>
    <row r="684">
      <c r="J684" s="15" t="s">
        <v>198</v>
      </c>
    </row>
    <row r="685">
      <c r="J685" s="15" t="s">
        <v>198</v>
      </c>
    </row>
    <row r="686">
      <c r="J686" s="15" t="s">
        <v>198</v>
      </c>
    </row>
    <row r="687">
      <c r="J687" s="15" t="s">
        <v>198</v>
      </c>
    </row>
    <row r="688">
      <c r="J688" s="15" t="s">
        <v>198</v>
      </c>
    </row>
    <row r="689">
      <c r="J689" s="15" t="s">
        <v>198</v>
      </c>
    </row>
    <row r="690">
      <c r="J690" s="15" t="s">
        <v>198</v>
      </c>
    </row>
    <row r="691">
      <c r="J691" s="15" t="s">
        <v>198</v>
      </c>
    </row>
    <row r="692">
      <c r="J692" s="15" t="s">
        <v>198</v>
      </c>
    </row>
    <row r="693">
      <c r="J693" s="15" t="s">
        <v>198</v>
      </c>
    </row>
    <row r="694">
      <c r="J694" s="15" t="s">
        <v>198</v>
      </c>
    </row>
    <row r="695">
      <c r="J695" s="15" t="s">
        <v>198</v>
      </c>
    </row>
    <row r="696">
      <c r="J696" s="15" t="s">
        <v>198</v>
      </c>
    </row>
    <row r="697">
      <c r="J697" s="15" t="s">
        <v>198</v>
      </c>
    </row>
    <row r="698">
      <c r="J698" s="15" t="s">
        <v>198</v>
      </c>
    </row>
    <row r="699">
      <c r="J699" s="15" t="s">
        <v>198</v>
      </c>
    </row>
    <row r="700">
      <c r="J700" s="15" t="s">
        <v>198</v>
      </c>
    </row>
    <row r="701">
      <c r="J701" s="15" t="s">
        <v>198</v>
      </c>
    </row>
    <row r="702">
      <c r="J702" s="15" t="s">
        <v>198</v>
      </c>
    </row>
    <row r="703">
      <c r="J703" s="15" t="s">
        <v>198</v>
      </c>
    </row>
    <row r="704">
      <c r="J704" s="15" t="s">
        <v>198</v>
      </c>
    </row>
    <row r="705">
      <c r="J705" s="15" t="s">
        <v>198</v>
      </c>
    </row>
    <row r="706">
      <c r="J706" s="15" t="s">
        <v>198</v>
      </c>
    </row>
    <row r="707">
      <c r="J707" s="15" t="s">
        <v>198</v>
      </c>
    </row>
    <row r="708">
      <c r="J708" s="15" t="s">
        <v>198</v>
      </c>
    </row>
    <row r="709">
      <c r="J709" s="15" t="s">
        <v>198</v>
      </c>
    </row>
    <row r="710">
      <c r="J710" s="15" t="s">
        <v>198</v>
      </c>
    </row>
    <row r="711">
      <c r="J711" s="15" t="s">
        <v>198</v>
      </c>
    </row>
    <row r="712">
      <c r="J712" s="15" t="s">
        <v>198</v>
      </c>
    </row>
    <row r="713">
      <c r="J713" s="15" t="s">
        <v>198</v>
      </c>
    </row>
    <row r="714">
      <c r="J714" s="15" t="s">
        <v>198</v>
      </c>
    </row>
    <row r="715">
      <c r="J715" s="15" t="s">
        <v>198</v>
      </c>
    </row>
    <row r="716">
      <c r="J716" s="15" t="s">
        <v>198</v>
      </c>
    </row>
    <row r="717">
      <c r="J717" s="15" t="s">
        <v>198</v>
      </c>
    </row>
    <row r="718">
      <c r="J718" s="15" t="s">
        <v>198</v>
      </c>
    </row>
    <row r="719">
      <c r="J719" s="15" t="s">
        <v>198</v>
      </c>
    </row>
    <row r="720">
      <c r="J720" s="15" t="s">
        <v>198</v>
      </c>
    </row>
    <row r="721">
      <c r="J721" s="15" t="s">
        <v>198</v>
      </c>
    </row>
    <row r="722">
      <c r="J722" s="15" t="s">
        <v>198</v>
      </c>
    </row>
    <row r="723">
      <c r="J723" s="15" t="s">
        <v>198</v>
      </c>
    </row>
    <row r="724">
      <c r="J724" s="15" t="s">
        <v>198</v>
      </c>
    </row>
    <row r="725">
      <c r="J725" s="15" t="s">
        <v>198</v>
      </c>
    </row>
    <row r="726">
      <c r="J726" s="15" t="s">
        <v>198</v>
      </c>
    </row>
    <row r="727">
      <c r="J727" s="15" t="s">
        <v>198</v>
      </c>
    </row>
    <row r="728">
      <c r="J728" s="15" t="s">
        <v>198</v>
      </c>
    </row>
    <row r="729">
      <c r="J729" s="15" t="s">
        <v>198</v>
      </c>
    </row>
    <row r="730">
      <c r="J730" s="15" t="s">
        <v>198</v>
      </c>
    </row>
    <row r="731">
      <c r="J731" s="15" t="s">
        <v>198</v>
      </c>
    </row>
    <row r="732">
      <c r="J732" s="15" t="s">
        <v>198</v>
      </c>
    </row>
    <row r="733">
      <c r="J733" s="15" t="s">
        <v>198</v>
      </c>
    </row>
    <row r="734">
      <c r="J734" s="15" t="s">
        <v>198</v>
      </c>
    </row>
    <row r="735">
      <c r="J735" s="15" t="s">
        <v>198</v>
      </c>
    </row>
    <row r="736">
      <c r="J736" s="15" t="s">
        <v>198</v>
      </c>
    </row>
    <row r="737">
      <c r="J737" s="15" t="s">
        <v>198</v>
      </c>
    </row>
    <row r="738">
      <c r="J738" s="15" t="s">
        <v>198</v>
      </c>
    </row>
    <row r="739">
      <c r="J739" s="15" t="s">
        <v>198</v>
      </c>
    </row>
    <row r="740">
      <c r="J740" s="15" t="s">
        <v>198</v>
      </c>
    </row>
    <row r="741">
      <c r="J741" s="15" t="s">
        <v>198</v>
      </c>
    </row>
    <row r="742">
      <c r="J742" s="15" t="s">
        <v>198</v>
      </c>
    </row>
    <row r="743">
      <c r="J743" s="15" t="s">
        <v>198</v>
      </c>
    </row>
    <row r="744">
      <c r="J744" s="15" t="s">
        <v>198</v>
      </c>
    </row>
    <row r="745">
      <c r="J745" s="15" t="s">
        <v>198</v>
      </c>
    </row>
    <row r="746">
      <c r="J746" s="15" t="s">
        <v>198</v>
      </c>
    </row>
    <row r="747">
      <c r="J747" s="15" t="s">
        <v>198</v>
      </c>
    </row>
    <row r="748">
      <c r="J748" s="15" t="s">
        <v>198</v>
      </c>
    </row>
    <row r="749">
      <c r="J749" s="15" t="s">
        <v>198</v>
      </c>
    </row>
    <row r="750">
      <c r="J750" s="15" t="s">
        <v>198</v>
      </c>
    </row>
    <row r="751">
      <c r="J751" s="15" t="s">
        <v>198</v>
      </c>
    </row>
    <row r="752">
      <c r="J752" s="15" t="s">
        <v>198</v>
      </c>
    </row>
    <row r="753">
      <c r="J753" s="15" t="s">
        <v>198</v>
      </c>
    </row>
    <row r="754">
      <c r="J754" s="15" t="s">
        <v>198</v>
      </c>
    </row>
    <row r="755">
      <c r="J755" s="15" t="s">
        <v>198</v>
      </c>
    </row>
    <row r="756">
      <c r="J756" s="15" t="s">
        <v>198</v>
      </c>
    </row>
    <row r="757">
      <c r="J757" s="15" t="s">
        <v>198</v>
      </c>
    </row>
    <row r="758">
      <c r="J758" s="15" t="s">
        <v>198</v>
      </c>
    </row>
    <row r="759">
      <c r="J759" s="15" t="s">
        <v>198</v>
      </c>
    </row>
    <row r="760">
      <c r="J760" s="15" t="s">
        <v>198</v>
      </c>
    </row>
    <row r="761">
      <c r="J761" s="15" t="s">
        <v>198</v>
      </c>
    </row>
    <row r="762">
      <c r="J762" s="15" t="s">
        <v>198</v>
      </c>
    </row>
    <row r="763">
      <c r="J763" s="15" t="s">
        <v>198</v>
      </c>
    </row>
    <row r="764">
      <c r="J764" s="15" t="s">
        <v>198</v>
      </c>
    </row>
    <row r="765">
      <c r="J765" s="15" t="s">
        <v>198</v>
      </c>
    </row>
    <row r="766">
      <c r="J766" s="15" t="s">
        <v>198</v>
      </c>
    </row>
    <row r="767">
      <c r="J767" s="15" t="s">
        <v>198</v>
      </c>
    </row>
    <row r="768">
      <c r="J768" s="15" t="s">
        <v>198</v>
      </c>
    </row>
    <row r="769">
      <c r="J769" s="15" t="s">
        <v>198</v>
      </c>
    </row>
    <row r="770">
      <c r="J770" s="15" t="s">
        <v>198</v>
      </c>
    </row>
    <row r="771">
      <c r="J771" s="15" t="s">
        <v>198</v>
      </c>
    </row>
    <row r="772">
      <c r="J772" s="15" t="s">
        <v>198</v>
      </c>
    </row>
    <row r="773">
      <c r="J773" s="15" t="s">
        <v>198</v>
      </c>
    </row>
    <row r="774">
      <c r="J774" s="15" t="s">
        <v>198</v>
      </c>
    </row>
    <row r="775">
      <c r="J775" s="15" t="s">
        <v>198</v>
      </c>
    </row>
    <row r="776">
      <c r="J776" s="15" t="s">
        <v>198</v>
      </c>
    </row>
    <row r="777">
      <c r="J777" s="15" t="s">
        <v>198</v>
      </c>
    </row>
    <row r="778">
      <c r="J778" s="15" t="s">
        <v>198</v>
      </c>
    </row>
    <row r="779">
      <c r="J779" s="15" t="s">
        <v>198</v>
      </c>
    </row>
    <row r="780">
      <c r="J780" s="15" t="s">
        <v>198</v>
      </c>
    </row>
    <row r="781">
      <c r="J781" s="15" t="s">
        <v>198</v>
      </c>
    </row>
    <row r="782">
      <c r="J782" s="15" t="s">
        <v>198</v>
      </c>
    </row>
    <row r="783">
      <c r="J783" s="15" t="s">
        <v>198</v>
      </c>
    </row>
    <row r="784">
      <c r="J784" s="15" t="s">
        <v>198</v>
      </c>
    </row>
    <row r="785">
      <c r="J785" s="15" t="s">
        <v>198</v>
      </c>
    </row>
    <row r="786">
      <c r="J786" s="15" t="s">
        <v>198</v>
      </c>
    </row>
    <row r="787">
      <c r="J787" s="15" t="s">
        <v>198</v>
      </c>
    </row>
    <row r="788">
      <c r="J788" s="15" t="s">
        <v>198</v>
      </c>
    </row>
    <row r="789">
      <c r="J789" s="15" t="s">
        <v>198</v>
      </c>
    </row>
    <row r="790">
      <c r="J790" s="15" t="s">
        <v>198</v>
      </c>
    </row>
    <row r="791">
      <c r="J791" s="15" t="s">
        <v>198</v>
      </c>
    </row>
    <row r="792">
      <c r="J792" s="15" t="s">
        <v>198</v>
      </c>
    </row>
    <row r="793">
      <c r="J793" s="15" t="s">
        <v>198</v>
      </c>
    </row>
    <row r="794">
      <c r="J794" s="15" t="s">
        <v>198</v>
      </c>
    </row>
    <row r="795">
      <c r="J795" s="15" t="s">
        <v>198</v>
      </c>
    </row>
    <row r="796">
      <c r="J796" s="15" t="s">
        <v>198</v>
      </c>
    </row>
    <row r="797">
      <c r="J797" s="15" t="s">
        <v>198</v>
      </c>
    </row>
    <row r="798">
      <c r="J798" s="15" t="s">
        <v>198</v>
      </c>
    </row>
    <row r="799">
      <c r="J799" s="15" t="s">
        <v>198</v>
      </c>
    </row>
    <row r="800">
      <c r="J800" s="15" t="s">
        <v>198</v>
      </c>
    </row>
    <row r="801">
      <c r="J801" s="15" t="s">
        <v>198</v>
      </c>
    </row>
    <row r="802">
      <c r="J802" s="15" t="s">
        <v>198</v>
      </c>
    </row>
    <row r="803">
      <c r="J803" s="15" t="s">
        <v>198</v>
      </c>
    </row>
    <row r="804">
      <c r="J804" s="15" t="s">
        <v>198</v>
      </c>
    </row>
    <row r="805">
      <c r="J805" s="15" t="s">
        <v>198</v>
      </c>
    </row>
    <row r="806">
      <c r="J806" s="15" t="s">
        <v>198</v>
      </c>
    </row>
    <row r="807">
      <c r="J807" s="15" t="s">
        <v>198</v>
      </c>
    </row>
    <row r="808">
      <c r="J808" s="15" t="s">
        <v>198</v>
      </c>
    </row>
    <row r="809">
      <c r="J809" s="15" t="s">
        <v>198</v>
      </c>
    </row>
    <row r="810">
      <c r="J810" s="15" t="s">
        <v>198</v>
      </c>
    </row>
    <row r="811">
      <c r="J811" s="15" t="s">
        <v>198</v>
      </c>
    </row>
    <row r="812">
      <c r="J812" s="15" t="s">
        <v>198</v>
      </c>
    </row>
    <row r="813">
      <c r="J813" s="15" t="s">
        <v>198</v>
      </c>
    </row>
    <row r="814">
      <c r="J814" s="15" t="s">
        <v>198</v>
      </c>
    </row>
    <row r="815">
      <c r="J815" s="15" t="s">
        <v>198</v>
      </c>
    </row>
    <row r="816">
      <c r="J816" s="15" t="s">
        <v>198</v>
      </c>
    </row>
    <row r="817">
      <c r="J817" s="15" t="s">
        <v>198</v>
      </c>
    </row>
    <row r="818">
      <c r="J818" s="15" t="s">
        <v>198</v>
      </c>
    </row>
    <row r="819">
      <c r="J819" s="15" t="s">
        <v>198</v>
      </c>
    </row>
    <row r="820">
      <c r="J820" s="15" t="s">
        <v>198</v>
      </c>
    </row>
    <row r="821">
      <c r="J821" s="15" t="s">
        <v>198</v>
      </c>
    </row>
    <row r="822">
      <c r="J822" s="15" t="s">
        <v>198</v>
      </c>
    </row>
    <row r="823">
      <c r="J823" s="15" t="s">
        <v>198</v>
      </c>
    </row>
    <row r="824">
      <c r="J824" s="15" t="s">
        <v>198</v>
      </c>
    </row>
    <row r="825">
      <c r="J825" s="15" t="s">
        <v>198</v>
      </c>
    </row>
    <row r="826">
      <c r="J826" s="15" t="s">
        <v>198</v>
      </c>
    </row>
    <row r="827">
      <c r="J827" s="15" t="s">
        <v>198</v>
      </c>
    </row>
    <row r="828">
      <c r="J828" s="15" t="s">
        <v>198</v>
      </c>
    </row>
    <row r="829">
      <c r="J829" s="15" t="s">
        <v>198</v>
      </c>
    </row>
    <row r="830">
      <c r="J830" s="15" t="s">
        <v>198</v>
      </c>
    </row>
    <row r="831">
      <c r="J831" s="15" t="s">
        <v>198</v>
      </c>
    </row>
    <row r="832">
      <c r="J832" s="15" t="s">
        <v>198</v>
      </c>
    </row>
    <row r="833">
      <c r="J833" s="15" t="s">
        <v>198</v>
      </c>
    </row>
    <row r="834">
      <c r="J834" s="15" t="s">
        <v>198</v>
      </c>
    </row>
    <row r="835">
      <c r="J835" s="15" t="s">
        <v>198</v>
      </c>
    </row>
    <row r="836">
      <c r="J836" s="15" t="s">
        <v>198</v>
      </c>
    </row>
    <row r="837">
      <c r="J837" s="15" t="s">
        <v>198</v>
      </c>
    </row>
    <row r="838">
      <c r="J838" s="15" t="s">
        <v>198</v>
      </c>
    </row>
    <row r="839">
      <c r="J839" s="15" t="s">
        <v>198</v>
      </c>
    </row>
    <row r="840">
      <c r="J840" s="15" t="s">
        <v>198</v>
      </c>
    </row>
    <row r="841">
      <c r="J841" s="15" t="s">
        <v>198</v>
      </c>
    </row>
    <row r="842">
      <c r="J842" s="15" t="s">
        <v>198</v>
      </c>
    </row>
    <row r="843">
      <c r="J843" s="15" t="s">
        <v>198</v>
      </c>
    </row>
    <row r="844">
      <c r="J844" s="15" t="s">
        <v>198</v>
      </c>
    </row>
    <row r="845">
      <c r="J845" s="15" t="s">
        <v>198</v>
      </c>
    </row>
    <row r="846">
      <c r="J846" s="15" t="s">
        <v>198</v>
      </c>
    </row>
    <row r="847">
      <c r="J847" s="15" t="s">
        <v>198</v>
      </c>
    </row>
    <row r="848">
      <c r="J848" s="15" t="s">
        <v>198</v>
      </c>
    </row>
    <row r="849">
      <c r="J849" s="15" t="s">
        <v>198</v>
      </c>
    </row>
    <row r="850">
      <c r="J850" s="15" t="s">
        <v>198</v>
      </c>
    </row>
    <row r="851">
      <c r="J851" s="15" t="s">
        <v>198</v>
      </c>
    </row>
    <row r="852">
      <c r="J852" s="15" t="s">
        <v>198</v>
      </c>
    </row>
    <row r="853">
      <c r="J853" s="15" t="s">
        <v>198</v>
      </c>
    </row>
    <row r="854">
      <c r="J854" s="15" t="s">
        <v>198</v>
      </c>
    </row>
    <row r="855">
      <c r="J855" s="15" t="s">
        <v>198</v>
      </c>
    </row>
    <row r="856">
      <c r="J856" s="15" t="s">
        <v>198</v>
      </c>
    </row>
    <row r="857">
      <c r="J857" s="15" t="s">
        <v>198</v>
      </c>
    </row>
    <row r="858">
      <c r="J858" s="15" t="s">
        <v>198</v>
      </c>
    </row>
    <row r="859">
      <c r="J859" s="15" t="s">
        <v>198</v>
      </c>
    </row>
    <row r="860">
      <c r="J860" s="15" t="s">
        <v>198</v>
      </c>
    </row>
    <row r="861">
      <c r="J861" s="15" t="s">
        <v>198</v>
      </c>
    </row>
    <row r="862">
      <c r="J862" s="15" t="s">
        <v>198</v>
      </c>
    </row>
    <row r="863">
      <c r="J863" s="15" t="s">
        <v>198</v>
      </c>
    </row>
    <row r="864">
      <c r="J864" s="15" t="s">
        <v>198</v>
      </c>
    </row>
    <row r="865">
      <c r="J865" s="15" t="s">
        <v>198</v>
      </c>
    </row>
    <row r="866">
      <c r="J866" s="15" t="s">
        <v>198</v>
      </c>
    </row>
    <row r="867">
      <c r="J867" s="15" t="s">
        <v>198</v>
      </c>
    </row>
    <row r="868">
      <c r="J868" s="15" t="s">
        <v>198</v>
      </c>
    </row>
    <row r="869">
      <c r="J869" s="15" t="s">
        <v>198</v>
      </c>
    </row>
    <row r="870">
      <c r="J870" s="15" t="s">
        <v>198</v>
      </c>
    </row>
    <row r="871">
      <c r="J871" s="15" t="s">
        <v>198</v>
      </c>
    </row>
    <row r="872">
      <c r="J872" s="15" t="s">
        <v>198</v>
      </c>
    </row>
    <row r="873">
      <c r="J873" s="15" t="s">
        <v>198</v>
      </c>
    </row>
    <row r="874">
      <c r="J874" s="15" t="s">
        <v>198</v>
      </c>
    </row>
    <row r="875">
      <c r="J875" s="15" t="s">
        <v>198</v>
      </c>
    </row>
    <row r="876">
      <c r="J876" s="15" t="s">
        <v>198</v>
      </c>
    </row>
    <row r="877">
      <c r="J877" s="15" t="s">
        <v>198</v>
      </c>
    </row>
    <row r="878">
      <c r="J878" s="15" t="s">
        <v>198</v>
      </c>
    </row>
    <row r="879">
      <c r="J879" s="15" t="s">
        <v>198</v>
      </c>
    </row>
    <row r="880">
      <c r="J880" s="15" t="s">
        <v>198</v>
      </c>
    </row>
    <row r="881">
      <c r="J881" s="15" t="s">
        <v>198</v>
      </c>
    </row>
    <row r="882">
      <c r="J882" s="15" t="s">
        <v>198</v>
      </c>
    </row>
    <row r="883">
      <c r="J883" s="15" t="s">
        <v>198</v>
      </c>
    </row>
    <row r="884">
      <c r="J884" s="15" t="s">
        <v>198</v>
      </c>
    </row>
    <row r="885">
      <c r="J885" s="15" t="s">
        <v>198</v>
      </c>
    </row>
    <row r="886">
      <c r="J886" s="15" t="s">
        <v>198</v>
      </c>
    </row>
    <row r="887">
      <c r="J887" s="15" t="s">
        <v>198</v>
      </c>
    </row>
    <row r="888">
      <c r="J888" s="15" t="s">
        <v>198</v>
      </c>
    </row>
    <row r="889">
      <c r="J889" s="15" t="s">
        <v>198</v>
      </c>
    </row>
    <row r="890">
      <c r="J890" s="15" t="s">
        <v>198</v>
      </c>
    </row>
    <row r="891">
      <c r="J891" s="15" t="s">
        <v>198</v>
      </c>
    </row>
    <row r="892">
      <c r="J892" s="15" t="s">
        <v>198</v>
      </c>
    </row>
    <row r="893">
      <c r="J893" s="15" t="s">
        <v>198</v>
      </c>
    </row>
    <row r="894">
      <c r="J894" s="15" t="s">
        <v>198</v>
      </c>
    </row>
    <row r="895">
      <c r="J895" s="15" t="s">
        <v>198</v>
      </c>
    </row>
    <row r="896">
      <c r="J896" s="15" t="s">
        <v>198</v>
      </c>
    </row>
    <row r="897">
      <c r="J897" s="15" t="s">
        <v>198</v>
      </c>
    </row>
    <row r="898">
      <c r="J898" s="15" t="s">
        <v>198</v>
      </c>
    </row>
    <row r="899">
      <c r="J899" s="15" t="s">
        <v>198</v>
      </c>
    </row>
    <row r="900">
      <c r="J900" s="15" t="s">
        <v>198</v>
      </c>
    </row>
    <row r="901">
      <c r="J901" s="15" t="s">
        <v>198</v>
      </c>
    </row>
    <row r="902">
      <c r="J902" s="15" t="s">
        <v>198</v>
      </c>
    </row>
    <row r="903">
      <c r="J903" s="15" t="s">
        <v>198</v>
      </c>
    </row>
    <row r="904">
      <c r="J904" s="15" t="s">
        <v>198</v>
      </c>
    </row>
    <row r="905">
      <c r="J905" s="15" t="s">
        <v>198</v>
      </c>
    </row>
    <row r="906">
      <c r="J906" s="15" t="s">
        <v>198</v>
      </c>
    </row>
    <row r="907">
      <c r="J907" s="15" t="s">
        <v>198</v>
      </c>
    </row>
    <row r="908">
      <c r="J908" s="15" t="s">
        <v>198</v>
      </c>
    </row>
    <row r="909">
      <c r="J909" s="15" t="s">
        <v>198</v>
      </c>
    </row>
    <row r="910">
      <c r="J910" s="15" t="s">
        <v>198</v>
      </c>
    </row>
    <row r="911">
      <c r="J911" s="15" t="s">
        <v>198</v>
      </c>
    </row>
    <row r="912">
      <c r="J912" s="15" t="s">
        <v>198</v>
      </c>
    </row>
    <row r="913">
      <c r="J913" s="15" t="s">
        <v>198</v>
      </c>
    </row>
    <row r="914">
      <c r="J914" s="15" t="s">
        <v>198</v>
      </c>
    </row>
    <row r="915">
      <c r="J915" s="15" t="s">
        <v>198</v>
      </c>
    </row>
    <row r="916">
      <c r="J916" s="15" t="s">
        <v>198</v>
      </c>
    </row>
    <row r="917">
      <c r="J917" s="15" t="s">
        <v>198</v>
      </c>
    </row>
    <row r="918">
      <c r="J918" s="15" t="s">
        <v>198</v>
      </c>
    </row>
    <row r="919">
      <c r="J919" s="15" t="s">
        <v>198</v>
      </c>
    </row>
    <row r="920">
      <c r="J920" s="15" t="s">
        <v>198</v>
      </c>
    </row>
    <row r="921">
      <c r="J921" s="15" t="s">
        <v>198</v>
      </c>
    </row>
    <row r="922">
      <c r="J922" s="15" t="s">
        <v>198</v>
      </c>
    </row>
    <row r="923">
      <c r="J923" s="15" t="s">
        <v>198</v>
      </c>
    </row>
    <row r="924">
      <c r="J924" s="15" t="s">
        <v>198</v>
      </c>
    </row>
    <row r="925">
      <c r="J925" s="15" t="s">
        <v>198</v>
      </c>
    </row>
    <row r="926">
      <c r="J926" s="15" t="s">
        <v>198</v>
      </c>
    </row>
    <row r="927">
      <c r="J927" s="15" t="s">
        <v>198</v>
      </c>
    </row>
    <row r="928">
      <c r="J928" s="15" t="s">
        <v>198</v>
      </c>
    </row>
    <row r="929">
      <c r="J929" s="15" t="s">
        <v>198</v>
      </c>
    </row>
    <row r="930">
      <c r="J930" s="15" t="s">
        <v>198</v>
      </c>
    </row>
    <row r="931">
      <c r="J931" s="15" t="s">
        <v>198</v>
      </c>
    </row>
    <row r="932">
      <c r="J932" s="15" t="s">
        <v>198</v>
      </c>
    </row>
    <row r="933">
      <c r="J933" s="15" t="s">
        <v>198</v>
      </c>
    </row>
    <row r="934">
      <c r="J934" s="15" t="s">
        <v>198</v>
      </c>
    </row>
    <row r="935">
      <c r="J935" s="15" t="s">
        <v>198</v>
      </c>
    </row>
    <row r="936">
      <c r="J936" s="15" t="s">
        <v>198</v>
      </c>
    </row>
    <row r="937">
      <c r="J937" s="15" t="s">
        <v>198</v>
      </c>
    </row>
    <row r="938">
      <c r="J938" s="15" t="s">
        <v>198</v>
      </c>
    </row>
    <row r="939">
      <c r="J939" s="15" t="s">
        <v>198</v>
      </c>
    </row>
    <row r="940">
      <c r="J940" s="15" t="s">
        <v>198</v>
      </c>
    </row>
    <row r="941">
      <c r="J941" s="15" t="s">
        <v>198</v>
      </c>
    </row>
    <row r="942">
      <c r="J942" s="15" t="s">
        <v>198</v>
      </c>
    </row>
    <row r="943">
      <c r="J943" s="15" t="s">
        <v>198</v>
      </c>
    </row>
    <row r="944">
      <c r="J944" s="15" t="s">
        <v>198</v>
      </c>
    </row>
    <row r="945">
      <c r="J945" s="15" t="s">
        <v>198</v>
      </c>
    </row>
    <row r="946">
      <c r="J946" s="15" t="s">
        <v>198</v>
      </c>
    </row>
    <row r="947">
      <c r="J947" s="15" t="s">
        <v>198</v>
      </c>
    </row>
    <row r="948">
      <c r="J948" s="15" t="s">
        <v>198</v>
      </c>
    </row>
    <row r="949">
      <c r="J949" s="15" t="s">
        <v>198</v>
      </c>
    </row>
    <row r="950">
      <c r="J950" s="15" t="s">
        <v>198</v>
      </c>
    </row>
    <row r="951">
      <c r="J951" s="15" t="s">
        <v>198</v>
      </c>
    </row>
    <row r="952">
      <c r="J952" s="15" t="s">
        <v>198</v>
      </c>
    </row>
    <row r="953">
      <c r="J953" s="15" t="s">
        <v>198</v>
      </c>
    </row>
    <row r="954">
      <c r="J954" s="15" t="s">
        <v>198</v>
      </c>
    </row>
    <row r="955">
      <c r="J955" s="15" t="s">
        <v>198</v>
      </c>
    </row>
    <row r="956">
      <c r="J956" s="15" t="s">
        <v>198</v>
      </c>
    </row>
    <row r="957">
      <c r="J957" s="15" t="s">
        <v>198</v>
      </c>
    </row>
    <row r="958">
      <c r="J958" s="15" t="s">
        <v>198</v>
      </c>
    </row>
    <row r="959">
      <c r="J959" s="15" t="s">
        <v>198</v>
      </c>
    </row>
    <row r="960">
      <c r="J960" s="15" t="s">
        <v>198</v>
      </c>
    </row>
    <row r="961">
      <c r="J961" s="15" t="s">
        <v>198</v>
      </c>
    </row>
    <row r="962">
      <c r="J962" s="15" t="s">
        <v>198</v>
      </c>
    </row>
    <row r="963">
      <c r="J963" s="15" t="s">
        <v>198</v>
      </c>
    </row>
    <row r="964">
      <c r="J964" s="15" t="s">
        <v>198</v>
      </c>
    </row>
    <row r="965">
      <c r="J965" s="15" t="s">
        <v>198</v>
      </c>
    </row>
    <row r="966">
      <c r="J966" s="15" t="s">
        <v>198</v>
      </c>
    </row>
    <row r="967">
      <c r="J967" s="15" t="s">
        <v>198</v>
      </c>
    </row>
    <row r="968">
      <c r="J968" s="15" t="s">
        <v>198</v>
      </c>
    </row>
    <row r="969">
      <c r="J969" s="15" t="s">
        <v>198</v>
      </c>
    </row>
    <row r="970">
      <c r="J970" s="15" t="s">
        <v>198</v>
      </c>
    </row>
    <row r="971">
      <c r="J971" s="15" t="s">
        <v>198</v>
      </c>
    </row>
    <row r="972">
      <c r="J972" s="15" t="s">
        <v>198</v>
      </c>
    </row>
    <row r="973">
      <c r="J973" s="15" t="s">
        <v>198</v>
      </c>
    </row>
    <row r="974">
      <c r="J974" s="15" t="s">
        <v>198</v>
      </c>
    </row>
    <row r="975">
      <c r="J975" s="15" t="s">
        <v>198</v>
      </c>
    </row>
    <row r="976">
      <c r="J976" s="15" t="s">
        <v>198</v>
      </c>
    </row>
    <row r="977">
      <c r="J977" s="15" t="s">
        <v>198</v>
      </c>
    </row>
    <row r="978">
      <c r="J978" s="15" t="s">
        <v>198</v>
      </c>
    </row>
    <row r="979">
      <c r="J979" s="15" t="s">
        <v>198</v>
      </c>
    </row>
    <row r="980">
      <c r="J980" s="15" t="s">
        <v>198</v>
      </c>
    </row>
    <row r="981">
      <c r="J981" s="15" t="s">
        <v>198</v>
      </c>
    </row>
    <row r="982">
      <c r="J982" s="15" t="s">
        <v>198</v>
      </c>
    </row>
    <row r="983">
      <c r="J983" s="15" t="s">
        <v>198</v>
      </c>
    </row>
    <row r="984">
      <c r="J984" s="15" t="s">
        <v>198</v>
      </c>
    </row>
    <row r="985">
      <c r="J985" s="15" t="s">
        <v>198</v>
      </c>
    </row>
    <row r="986">
      <c r="J986" s="15" t="s">
        <v>198</v>
      </c>
    </row>
    <row r="987">
      <c r="J987" s="15" t="s">
        <v>198</v>
      </c>
    </row>
    <row r="988">
      <c r="J988" s="15" t="s">
        <v>198</v>
      </c>
    </row>
    <row r="989">
      <c r="J989" s="15" t="s">
        <v>198</v>
      </c>
    </row>
    <row r="990">
      <c r="J990" s="15" t="s">
        <v>198</v>
      </c>
    </row>
    <row r="991">
      <c r="J991" s="15" t="s">
        <v>198</v>
      </c>
    </row>
    <row r="992">
      <c r="J992" s="15" t="s">
        <v>198</v>
      </c>
    </row>
    <row r="993">
      <c r="J993" s="15" t="s">
        <v>198</v>
      </c>
    </row>
    <row r="994">
      <c r="J994" s="15" t="s">
        <v>198</v>
      </c>
    </row>
    <row r="995">
      <c r="J995" s="15" t="s">
        <v>198</v>
      </c>
    </row>
    <row r="996">
      <c r="J996" s="15" t="s">
        <v>198</v>
      </c>
    </row>
    <row r="997">
      <c r="J997" s="15" t="s">
        <v>198</v>
      </c>
    </row>
    <row r="998">
      <c r="J998" s="15" t="s">
        <v>198</v>
      </c>
    </row>
    <row r="999">
      <c r="J999" s="15" t="s">
        <v>198</v>
      </c>
    </row>
    <row r="1000">
      <c r="J1000" s="15" t="s">
        <v>198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310</v>
      </c>
      <c r="B1" s="22" t="s">
        <v>311</v>
      </c>
    </row>
    <row r="2">
      <c r="A2" s="56" t="s">
        <v>312</v>
      </c>
      <c r="B2" s="57">
        <v>120.0</v>
      </c>
    </row>
    <row r="3">
      <c r="A3" s="56" t="s">
        <v>313</v>
      </c>
      <c r="B3" s="57">
        <v>85.0</v>
      </c>
    </row>
    <row r="4">
      <c r="A4" s="56" t="s">
        <v>58</v>
      </c>
      <c r="B4" s="57">
        <v>25.0</v>
      </c>
    </row>
    <row r="5">
      <c r="A5" s="56" t="s">
        <v>314</v>
      </c>
      <c r="B5" s="57">
        <v>15.0</v>
      </c>
    </row>
    <row r="6">
      <c r="A6" s="56" t="s">
        <v>13</v>
      </c>
      <c r="B6" s="57">
        <v>150.0</v>
      </c>
    </row>
    <row r="7">
      <c r="A7" s="56" t="s">
        <v>19</v>
      </c>
      <c r="B7" s="57">
        <v>110.0</v>
      </c>
    </row>
    <row r="8">
      <c r="A8" s="56" t="s">
        <v>40</v>
      </c>
      <c r="B8" s="57">
        <v>95.0</v>
      </c>
    </row>
    <row r="9">
      <c r="A9" s="56" t="s">
        <v>24</v>
      </c>
      <c r="B9" s="57">
        <v>60.0</v>
      </c>
    </row>
    <row r="10">
      <c r="A10" s="56" t="s">
        <v>35</v>
      </c>
      <c r="B10" s="57">
        <v>180.0</v>
      </c>
    </row>
    <row r="11">
      <c r="A11" s="56" t="s">
        <v>112</v>
      </c>
      <c r="B11" s="57">
        <v>200.0</v>
      </c>
    </row>
    <row r="12">
      <c r="A12" s="56" t="s">
        <v>315</v>
      </c>
      <c r="B12" s="58">
        <v>75.0</v>
      </c>
    </row>
    <row r="13">
      <c r="A13" s="56" t="s">
        <v>57</v>
      </c>
      <c r="B13" s="58">
        <v>35.0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5.75"/>
    <col customWidth="1" min="4" max="4" width="17.88"/>
    <col customWidth="1" min="5" max="5" width="19.38"/>
    <col customWidth="1" min="6" max="6" width="26.63"/>
    <col customWidth="1" min="7" max="7" width="17.75"/>
    <col customWidth="1" min="8" max="8" width="23.88"/>
    <col customWidth="1" min="9" max="9" width="22.25"/>
    <col customWidth="1" min="10" max="10" width="34.25"/>
    <col customWidth="1" min="11" max="11" width="32.38"/>
    <col customWidth="1" min="12" max="12" width="26.25"/>
    <col customWidth="1" min="13" max="13" width="39.25"/>
    <col customWidth="1" min="14" max="14" width="25.38"/>
    <col customWidth="1" min="15" max="15" width="27.88"/>
    <col customWidth="1" min="16" max="16" width="34.38"/>
  </cols>
  <sheetData>
    <row r="1">
      <c r="A1" s="59" t="s">
        <v>316</v>
      </c>
      <c r="B1" s="59" t="s">
        <v>236</v>
      </c>
      <c r="C1" s="59" t="s">
        <v>317</v>
      </c>
      <c r="D1" s="59" t="s">
        <v>318</v>
      </c>
      <c r="E1" s="59" t="s">
        <v>319</v>
      </c>
      <c r="F1" s="59" t="s">
        <v>320</v>
      </c>
      <c r="G1" s="59" t="s">
        <v>321</v>
      </c>
      <c r="H1" s="59" t="s">
        <v>322</v>
      </c>
      <c r="I1" s="59" t="s">
        <v>323</v>
      </c>
      <c r="J1" s="59" t="s">
        <v>324</v>
      </c>
      <c r="K1" s="59" t="s">
        <v>325</v>
      </c>
      <c r="L1" s="59" t="s">
        <v>326</v>
      </c>
      <c r="M1" s="59" t="s">
        <v>327</v>
      </c>
      <c r="N1" s="59" t="s">
        <v>305</v>
      </c>
      <c r="O1" s="59" t="s">
        <v>328</v>
      </c>
      <c r="P1" s="59" t="s">
        <v>9</v>
      </c>
    </row>
    <row r="2">
      <c r="A2" s="59" t="s">
        <v>126</v>
      </c>
      <c r="B2" s="25" t="s">
        <v>13</v>
      </c>
      <c r="C2" s="59" t="s">
        <v>108</v>
      </c>
      <c r="D2" s="59" t="s">
        <v>329</v>
      </c>
      <c r="E2" s="25" t="s">
        <v>330</v>
      </c>
      <c r="F2" s="25" t="s">
        <v>331</v>
      </c>
      <c r="G2" s="25" t="s">
        <v>237</v>
      </c>
      <c r="H2" s="59" t="s">
        <v>12</v>
      </c>
      <c r="I2" s="60">
        <v>45366.0</v>
      </c>
      <c r="J2" s="60">
        <v>45397.0</v>
      </c>
      <c r="K2" s="25">
        <f t="shared" ref="K2:K93" si="1">IF(J2 &lt; TODAY(), DATEDIF(J2, TODAY(), "D"), 0)</f>
        <v>598</v>
      </c>
      <c r="L2" s="60">
        <v>44905.0</v>
      </c>
      <c r="M2" s="25">
        <v>12.0</v>
      </c>
      <c r="N2" s="23" t="str">
        <f t="shared" ref="N2:N93" si="2">IF(EDATE(L2, M2) &gt; TODAY(), "VIGENT", "CADUCADA")</f>
        <v>CADUCADA</v>
      </c>
      <c r="O2" s="59">
        <f t="shared" ref="O2:O93" si="3">0</f>
        <v>0</v>
      </c>
      <c r="P2" s="61"/>
    </row>
    <row r="3">
      <c r="A3" s="59" t="s">
        <v>129</v>
      </c>
      <c r="B3" s="25" t="s">
        <v>19</v>
      </c>
      <c r="C3" s="59" t="s">
        <v>49</v>
      </c>
      <c r="D3" s="59" t="s">
        <v>332</v>
      </c>
      <c r="E3" s="25" t="s">
        <v>330</v>
      </c>
      <c r="F3" s="25" t="s">
        <v>331</v>
      </c>
      <c r="G3" s="25" t="s">
        <v>237</v>
      </c>
      <c r="H3" s="59" t="s">
        <v>23</v>
      </c>
      <c r="I3" s="60">
        <v>45371.0</v>
      </c>
      <c r="J3" s="60">
        <v>45378.0</v>
      </c>
      <c r="K3" s="25">
        <f t="shared" si="1"/>
        <v>617</v>
      </c>
      <c r="L3" s="60">
        <v>44910.0</v>
      </c>
      <c r="M3" s="25">
        <v>24.0</v>
      </c>
      <c r="N3" s="23" t="str">
        <f t="shared" si="2"/>
        <v>CADUCADA</v>
      </c>
      <c r="O3" s="59">
        <f t="shared" si="3"/>
        <v>0</v>
      </c>
      <c r="P3" s="61"/>
    </row>
    <row r="4">
      <c r="A4" s="59" t="s">
        <v>136</v>
      </c>
      <c r="B4" s="25" t="s">
        <v>35</v>
      </c>
      <c r="C4" s="59" t="s">
        <v>80</v>
      </c>
      <c r="D4" s="59" t="s">
        <v>333</v>
      </c>
      <c r="E4" s="25" t="s">
        <v>330</v>
      </c>
      <c r="F4" s="25" t="s">
        <v>331</v>
      </c>
      <c r="G4" s="25" t="s">
        <v>237</v>
      </c>
      <c r="H4" s="59" t="s">
        <v>34</v>
      </c>
      <c r="I4" s="60">
        <v>45374.0</v>
      </c>
      <c r="J4" s="60">
        <v>45381.0</v>
      </c>
      <c r="K4" s="25">
        <f t="shared" si="1"/>
        <v>614</v>
      </c>
      <c r="L4" s="60">
        <v>44971.0</v>
      </c>
      <c r="M4" s="25">
        <v>24.0</v>
      </c>
      <c r="N4" s="23" t="str">
        <f t="shared" si="2"/>
        <v>CADUCADA</v>
      </c>
      <c r="O4" s="59">
        <f t="shared" si="3"/>
        <v>0</v>
      </c>
      <c r="P4" s="61"/>
    </row>
    <row r="5">
      <c r="A5" s="59" t="s">
        <v>134</v>
      </c>
      <c r="B5" s="25" t="s">
        <v>40</v>
      </c>
      <c r="C5" s="59" t="s">
        <v>41</v>
      </c>
      <c r="D5" s="59">
        <v>14.0</v>
      </c>
      <c r="E5" s="25" t="s">
        <v>330</v>
      </c>
      <c r="F5" s="25" t="s">
        <v>331</v>
      </c>
      <c r="G5" s="25" t="s">
        <v>237</v>
      </c>
      <c r="H5" s="59" t="s">
        <v>39</v>
      </c>
      <c r="I5" s="60">
        <v>45367.0</v>
      </c>
      <c r="J5" s="60">
        <v>45398.0</v>
      </c>
      <c r="K5" s="25">
        <f t="shared" si="1"/>
        <v>597</v>
      </c>
      <c r="L5" s="60">
        <v>45255.0</v>
      </c>
      <c r="M5" s="25">
        <v>24.0</v>
      </c>
      <c r="N5" s="23" t="str">
        <f t="shared" si="2"/>
        <v>CADUCADA</v>
      </c>
      <c r="O5" s="59">
        <f t="shared" si="3"/>
        <v>0</v>
      </c>
      <c r="P5" s="61"/>
    </row>
    <row r="6">
      <c r="A6" s="59" t="s">
        <v>139</v>
      </c>
      <c r="B6" s="25" t="s">
        <v>13</v>
      </c>
      <c r="C6" s="59" t="s">
        <v>73</v>
      </c>
      <c r="D6" s="59" t="s">
        <v>334</v>
      </c>
      <c r="E6" s="25" t="s">
        <v>330</v>
      </c>
      <c r="F6" s="25" t="s">
        <v>331</v>
      </c>
      <c r="G6" s="25" t="s">
        <v>237</v>
      </c>
      <c r="H6" s="59" t="s">
        <v>44</v>
      </c>
      <c r="I6" s="60">
        <v>45369.0</v>
      </c>
      <c r="J6" s="60">
        <v>45383.0</v>
      </c>
      <c r="K6" s="25">
        <f t="shared" si="1"/>
        <v>612</v>
      </c>
      <c r="L6" s="60">
        <v>44985.0</v>
      </c>
      <c r="M6" s="25">
        <v>12.0</v>
      </c>
      <c r="N6" s="23" t="str">
        <f t="shared" si="2"/>
        <v>CADUCADA</v>
      </c>
      <c r="O6" s="59">
        <f t="shared" si="3"/>
        <v>0</v>
      </c>
      <c r="P6" s="61"/>
    </row>
    <row r="7">
      <c r="A7" s="59" t="s">
        <v>335</v>
      </c>
      <c r="B7" s="25" t="s">
        <v>19</v>
      </c>
      <c r="C7" s="59" t="s">
        <v>49</v>
      </c>
      <c r="D7" s="59" t="s">
        <v>336</v>
      </c>
      <c r="E7" s="25" t="s">
        <v>330</v>
      </c>
      <c r="F7" s="25" t="s">
        <v>331</v>
      </c>
      <c r="G7" s="25" t="s">
        <v>237</v>
      </c>
      <c r="H7" s="59" t="s">
        <v>48</v>
      </c>
      <c r="I7" s="60">
        <v>45370.0</v>
      </c>
      <c r="J7" s="60">
        <v>45377.0</v>
      </c>
      <c r="K7" s="25">
        <f t="shared" si="1"/>
        <v>618</v>
      </c>
      <c r="L7" s="60">
        <v>44826.0</v>
      </c>
      <c r="M7" s="25">
        <v>24.0</v>
      </c>
      <c r="N7" s="23" t="str">
        <f t="shared" si="2"/>
        <v>CADUCADA</v>
      </c>
      <c r="O7" s="59">
        <f t="shared" si="3"/>
        <v>0</v>
      </c>
      <c r="P7" s="61"/>
    </row>
    <row r="8">
      <c r="A8" s="59" t="s">
        <v>145</v>
      </c>
      <c r="B8" s="25" t="s">
        <v>24</v>
      </c>
      <c r="C8" s="59" t="s">
        <v>337</v>
      </c>
      <c r="D8" s="59" t="s">
        <v>338</v>
      </c>
      <c r="E8" s="25" t="s">
        <v>330</v>
      </c>
      <c r="F8" s="25" t="s">
        <v>331</v>
      </c>
      <c r="G8" s="25" t="s">
        <v>237</v>
      </c>
      <c r="H8" s="59" t="s">
        <v>52</v>
      </c>
      <c r="I8" s="60">
        <v>45372.0</v>
      </c>
      <c r="J8" s="60">
        <v>45379.0</v>
      </c>
      <c r="K8" s="25">
        <f t="shared" si="1"/>
        <v>616</v>
      </c>
      <c r="L8" s="60">
        <v>44893.0</v>
      </c>
      <c r="M8" s="25">
        <v>24.0</v>
      </c>
      <c r="N8" s="23" t="str">
        <f t="shared" si="2"/>
        <v>CADUCADA</v>
      </c>
      <c r="O8" s="59">
        <f t="shared" si="3"/>
        <v>0</v>
      </c>
      <c r="P8" s="61"/>
    </row>
    <row r="9">
      <c r="A9" s="59" t="s">
        <v>147</v>
      </c>
      <c r="B9" s="25" t="s">
        <v>339</v>
      </c>
      <c r="C9" s="59" t="s">
        <v>340</v>
      </c>
      <c r="D9" s="59" t="s">
        <v>341</v>
      </c>
      <c r="E9" s="25" t="s">
        <v>330</v>
      </c>
      <c r="F9" s="25" t="s">
        <v>331</v>
      </c>
      <c r="G9" s="25" t="s">
        <v>237</v>
      </c>
      <c r="H9" s="59" t="s">
        <v>56</v>
      </c>
      <c r="I9" s="60">
        <v>45368.0</v>
      </c>
      <c r="J9" s="60">
        <v>45399.0</v>
      </c>
      <c r="K9" s="25">
        <f t="shared" si="1"/>
        <v>596</v>
      </c>
      <c r="L9" s="60">
        <v>45066.0</v>
      </c>
      <c r="M9" s="25">
        <v>24.0</v>
      </c>
      <c r="N9" s="23" t="str">
        <f t="shared" si="2"/>
        <v>CADUCADA</v>
      </c>
      <c r="O9" s="59">
        <f t="shared" si="3"/>
        <v>0</v>
      </c>
      <c r="P9" s="61"/>
    </row>
    <row r="10">
      <c r="A10" s="59" t="s">
        <v>150</v>
      </c>
      <c r="B10" s="25" t="s">
        <v>19</v>
      </c>
      <c r="C10" s="59" t="s">
        <v>49</v>
      </c>
      <c r="D10" s="59" t="s">
        <v>342</v>
      </c>
      <c r="E10" s="25" t="s">
        <v>330</v>
      </c>
      <c r="F10" s="25" t="s">
        <v>331</v>
      </c>
      <c r="G10" s="25" t="s">
        <v>237</v>
      </c>
      <c r="H10" s="59" t="s">
        <v>61</v>
      </c>
      <c r="I10" s="60">
        <v>45361.0</v>
      </c>
      <c r="J10" s="60">
        <v>45375.0</v>
      </c>
      <c r="K10" s="25">
        <f t="shared" si="1"/>
        <v>620</v>
      </c>
      <c r="L10" s="60">
        <v>45211.0</v>
      </c>
      <c r="M10" s="25">
        <v>24.0</v>
      </c>
      <c r="N10" s="23" t="str">
        <f t="shared" si="2"/>
        <v>CADUCADA</v>
      </c>
      <c r="O10" s="59">
        <f t="shared" si="3"/>
        <v>0</v>
      </c>
      <c r="P10" s="61"/>
    </row>
    <row r="11">
      <c r="A11" s="59" t="s">
        <v>159</v>
      </c>
      <c r="B11" s="25" t="s">
        <v>13</v>
      </c>
      <c r="C11" s="59" t="s">
        <v>45</v>
      </c>
      <c r="D11" s="59" t="s">
        <v>343</v>
      </c>
      <c r="E11" s="25" t="s">
        <v>330</v>
      </c>
      <c r="F11" s="25" t="s">
        <v>331</v>
      </c>
      <c r="G11" s="25" t="s">
        <v>237</v>
      </c>
      <c r="H11" s="59" t="s">
        <v>65</v>
      </c>
      <c r="I11" s="60">
        <v>45350.0</v>
      </c>
      <c r="J11" s="60">
        <v>45366.0</v>
      </c>
      <c r="K11" s="25">
        <f t="shared" si="1"/>
        <v>629</v>
      </c>
      <c r="L11" s="60">
        <v>44839.0</v>
      </c>
      <c r="M11" s="25">
        <v>12.0</v>
      </c>
      <c r="N11" s="23" t="str">
        <f t="shared" si="2"/>
        <v>CADUCADA</v>
      </c>
      <c r="O11" s="59">
        <f t="shared" si="3"/>
        <v>0</v>
      </c>
      <c r="P11" s="61"/>
    </row>
    <row r="12">
      <c r="A12" s="59" t="s">
        <v>157</v>
      </c>
      <c r="B12" s="25" t="s">
        <v>24</v>
      </c>
      <c r="C12" s="59" t="s">
        <v>337</v>
      </c>
      <c r="D12" s="59" t="s">
        <v>344</v>
      </c>
      <c r="E12" s="25" t="s">
        <v>330</v>
      </c>
      <c r="F12" s="25" t="s">
        <v>331</v>
      </c>
      <c r="G12" s="25" t="s">
        <v>237</v>
      </c>
      <c r="H12" s="59" t="s">
        <v>68</v>
      </c>
      <c r="I12" s="60">
        <v>45365.0</v>
      </c>
      <c r="J12" s="60">
        <v>45372.0</v>
      </c>
      <c r="K12" s="25">
        <f t="shared" si="1"/>
        <v>623</v>
      </c>
      <c r="L12" s="60">
        <v>44849.0</v>
      </c>
      <c r="M12" s="25">
        <v>24.0</v>
      </c>
      <c r="N12" s="23" t="str">
        <f t="shared" si="2"/>
        <v>CADUCADA</v>
      </c>
      <c r="O12" s="59">
        <f t="shared" si="3"/>
        <v>0</v>
      </c>
      <c r="P12" s="61"/>
    </row>
    <row r="13">
      <c r="A13" s="59" t="s">
        <v>152</v>
      </c>
      <c r="B13" s="25" t="s">
        <v>13</v>
      </c>
      <c r="C13" s="59" t="s">
        <v>73</v>
      </c>
      <c r="D13" s="59" t="s">
        <v>345</v>
      </c>
      <c r="E13" s="25" t="s">
        <v>330</v>
      </c>
      <c r="F13" s="25" t="s">
        <v>331</v>
      </c>
      <c r="G13" s="25" t="s">
        <v>237</v>
      </c>
      <c r="H13" s="59" t="s">
        <v>76</v>
      </c>
      <c r="I13" s="60">
        <v>45373.0</v>
      </c>
      <c r="J13" s="60">
        <v>45387.0</v>
      </c>
      <c r="K13" s="25">
        <f t="shared" si="1"/>
        <v>608</v>
      </c>
      <c r="L13" s="60">
        <v>45121.0</v>
      </c>
      <c r="M13" s="25">
        <v>12.0</v>
      </c>
      <c r="N13" s="23" t="str">
        <f t="shared" si="2"/>
        <v>CADUCADA</v>
      </c>
      <c r="O13" s="59">
        <f t="shared" si="3"/>
        <v>0</v>
      </c>
      <c r="P13" s="61"/>
    </row>
    <row r="14">
      <c r="A14" s="59" t="s">
        <v>186</v>
      </c>
      <c r="B14" s="25" t="s">
        <v>312</v>
      </c>
      <c r="C14" s="59" t="s">
        <v>108</v>
      </c>
      <c r="D14" s="59" t="s">
        <v>346</v>
      </c>
      <c r="E14" s="25" t="s">
        <v>347</v>
      </c>
      <c r="F14" s="25" t="s">
        <v>348</v>
      </c>
      <c r="G14" s="25" t="s">
        <v>349</v>
      </c>
      <c r="H14" s="61"/>
      <c r="I14" s="23" t="str">
        <f>IF(SOL_LICITUDS_PRESTEC!G14&gt;=TODAY(),SOL_LICITUDS_PRESTEC!G14,"Error")
</f>
        <v>Error</v>
      </c>
      <c r="J14" s="25" t="str">
        <f>IF(SOL_LICITUDS_PRESTEC!H2&gt;G14,SOL_LICITUDS_PRESTEC!H14,"Error")</f>
        <v>Error</v>
      </c>
      <c r="K14" s="25">
        <f t="shared" si="1"/>
        <v>0</v>
      </c>
      <c r="L14" s="60">
        <v>44885.0</v>
      </c>
      <c r="M14" s="25">
        <v>12.0</v>
      </c>
      <c r="N14" s="23" t="str">
        <f t="shared" si="2"/>
        <v>CADUCADA</v>
      </c>
      <c r="O14" s="59">
        <f t="shared" si="3"/>
        <v>0</v>
      </c>
      <c r="P14" s="62"/>
    </row>
    <row r="15">
      <c r="A15" s="59" t="s">
        <v>350</v>
      </c>
      <c r="B15" s="25" t="s">
        <v>313</v>
      </c>
      <c r="C15" s="59" t="s">
        <v>108</v>
      </c>
      <c r="D15" s="59" t="s">
        <v>351</v>
      </c>
      <c r="E15" s="25" t="s">
        <v>347</v>
      </c>
      <c r="F15" s="25" t="s">
        <v>348</v>
      </c>
      <c r="G15" s="25" t="s">
        <v>349</v>
      </c>
      <c r="H15" s="61"/>
      <c r="I15" s="23" t="str">
        <f>IF(SOL_LICITUDS_PRESTEC!G15&gt;=TODAY(),SOL_LICITUDS_PRESTEC!G15,"Error")
</f>
        <v>Error</v>
      </c>
      <c r="J15" s="25" t="str">
        <f>IF(SOL_LICITUDS_PRESTEC!H3&gt;G15,SOL_LICITUDS_PRESTEC!H15,"Error")</f>
        <v>Error</v>
      </c>
      <c r="K15" s="25">
        <f t="shared" si="1"/>
        <v>0</v>
      </c>
      <c r="L15" s="60">
        <v>44885.0</v>
      </c>
      <c r="M15" s="25">
        <v>24.0</v>
      </c>
      <c r="N15" s="23" t="str">
        <f t="shared" si="2"/>
        <v>CADUCADA</v>
      </c>
      <c r="O15" s="62">
        <f t="shared" si="3"/>
        <v>0</v>
      </c>
      <c r="P15" s="61"/>
    </row>
    <row r="16">
      <c r="A16" s="59" t="s">
        <v>196</v>
      </c>
      <c r="B16" s="25" t="s">
        <v>58</v>
      </c>
      <c r="C16" s="59" t="s">
        <v>108</v>
      </c>
      <c r="D16" s="59" t="s">
        <v>352</v>
      </c>
      <c r="E16" s="25" t="s">
        <v>347</v>
      </c>
      <c r="F16" s="25" t="s">
        <v>348</v>
      </c>
      <c r="G16" s="25" t="s">
        <v>349</v>
      </c>
      <c r="H16" s="61"/>
      <c r="I16" s="23" t="str">
        <f>IF(SOL_LICITUDS_PRESTEC!G16&gt;=TODAY(),SOL_LICITUDS_PRESTEC!G16,"Error")
</f>
        <v>Error</v>
      </c>
      <c r="J16" s="25" t="str">
        <f>IF(SOL_LICITUDS_PRESTEC!H4&gt;G16,SOL_LICITUDS_PRESTEC!H16,"Error")</f>
        <v>Error</v>
      </c>
      <c r="K16" s="25">
        <f t="shared" si="1"/>
        <v>0</v>
      </c>
      <c r="L16" s="60">
        <v>44885.0</v>
      </c>
      <c r="M16" s="25">
        <v>12.0</v>
      </c>
      <c r="N16" s="23" t="str">
        <f t="shared" si="2"/>
        <v>CADUCADA</v>
      </c>
      <c r="O16" s="62">
        <f t="shared" si="3"/>
        <v>0</v>
      </c>
      <c r="P16" s="61"/>
    </row>
    <row r="17">
      <c r="A17" s="59" t="s">
        <v>183</v>
      </c>
      <c r="B17" s="25" t="s">
        <v>314</v>
      </c>
      <c r="C17" s="59" t="s">
        <v>108</v>
      </c>
      <c r="D17" s="59" t="s">
        <v>353</v>
      </c>
      <c r="E17" s="25" t="s">
        <v>347</v>
      </c>
      <c r="F17" s="25" t="s">
        <v>348</v>
      </c>
      <c r="G17" s="25" t="s">
        <v>354</v>
      </c>
      <c r="H17" s="61"/>
      <c r="I17" s="23" t="str">
        <f>IF(SOL_LICITUDS_PRESTEC!G17&gt;=TODAY(),SOL_LICITUDS_PRESTEC!G17,"Error")
</f>
        <v>Error</v>
      </c>
      <c r="J17" s="25" t="str">
        <f>IF(SOL_LICITUDS_PRESTEC!H5&gt;G17,SOL_LICITUDS_PRESTEC!H17,"Error")</f>
        <v>Error</v>
      </c>
      <c r="K17" s="25">
        <f t="shared" si="1"/>
        <v>0</v>
      </c>
      <c r="L17" s="60">
        <v>44885.0</v>
      </c>
      <c r="M17" s="25">
        <v>12.0</v>
      </c>
      <c r="N17" s="23" t="str">
        <f t="shared" si="2"/>
        <v>CADUCADA</v>
      </c>
      <c r="O17" s="62">
        <f t="shared" si="3"/>
        <v>0</v>
      </c>
      <c r="P17" s="59" t="s">
        <v>355</v>
      </c>
    </row>
    <row r="18">
      <c r="A18" s="59" t="s">
        <v>356</v>
      </c>
      <c r="B18" s="25" t="s">
        <v>312</v>
      </c>
      <c r="C18" s="59" t="s">
        <v>45</v>
      </c>
      <c r="D18" s="59" t="s">
        <v>357</v>
      </c>
      <c r="E18" s="25" t="s">
        <v>358</v>
      </c>
      <c r="F18" s="25" t="s">
        <v>348</v>
      </c>
      <c r="G18" s="25" t="s">
        <v>349</v>
      </c>
      <c r="H18" s="61"/>
      <c r="I18" s="23" t="str">
        <f>IF(SOL_LICITUDS_PRESTEC!G18&gt;=TODAY(),SOL_LICITUDS_PRESTEC!G18,"Error")
</f>
        <v>Error</v>
      </c>
      <c r="J18" s="25" t="str">
        <f>IF(SOL_LICITUDS_PRESTEC!H6&gt;G18,SOL_LICITUDS_PRESTEC!H18,"Error")</f>
        <v>Error</v>
      </c>
      <c r="K18" s="25">
        <f t="shared" si="1"/>
        <v>0</v>
      </c>
      <c r="L18" s="60">
        <v>44809.0</v>
      </c>
      <c r="M18" s="25">
        <v>12.0</v>
      </c>
      <c r="N18" s="23" t="str">
        <f t="shared" si="2"/>
        <v>CADUCADA</v>
      </c>
      <c r="O18" s="62">
        <f t="shared" si="3"/>
        <v>0</v>
      </c>
      <c r="P18" s="61"/>
    </row>
    <row r="19">
      <c r="A19" s="59" t="s">
        <v>359</v>
      </c>
      <c r="B19" s="25" t="s">
        <v>313</v>
      </c>
      <c r="C19" s="59" t="s">
        <v>45</v>
      </c>
      <c r="D19" s="59" t="s">
        <v>360</v>
      </c>
      <c r="E19" s="25" t="s">
        <v>358</v>
      </c>
      <c r="F19" s="25" t="s">
        <v>348</v>
      </c>
      <c r="G19" s="25" t="s">
        <v>349</v>
      </c>
      <c r="H19" s="61"/>
      <c r="I19" s="23" t="str">
        <f>IF(SOL_LICITUDS_PRESTEC!G19&gt;=TODAY(),SOL_LICITUDS_PRESTEC!G19,"Error")
</f>
        <v>Error</v>
      </c>
      <c r="J19" s="25" t="str">
        <f>IF(SOL_LICITUDS_PRESTEC!H7&gt;G19,SOL_LICITUDS_PRESTEC!H19,"Error")</f>
        <v>Error</v>
      </c>
      <c r="K19" s="25">
        <f t="shared" si="1"/>
        <v>0</v>
      </c>
      <c r="L19" s="60">
        <v>44809.0</v>
      </c>
      <c r="M19" s="25">
        <v>24.0</v>
      </c>
      <c r="N19" s="23" t="str">
        <f t="shared" si="2"/>
        <v>CADUCADA</v>
      </c>
      <c r="O19" s="62">
        <f t="shared" si="3"/>
        <v>0</v>
      </c>
      <c r="P19" s="61"/>
    </row>
    <row r="20">
      <c r="A20" s="59" t="s">
        <v>361</v>
      </c>
      <c r="B20" s="25" t="s">
        <v>58</v>
      </c>
      <c r="C20" s="59" t="s">
        <v>45</v>
      </c>
      <c r="D20" s="59" t="s">
        <v>362</v>
      </c>
      <c r="E20" s="25" t="s">
        <v>358</v>
      </c>
      <c r="F20" s="25" t="s">
        <v>348</v>
      </c>
      <c r="G20" s="25" t="s">
        <v>349</v>
      </c>
      <c r="H20" s="61"/>
      <c r="I20" s="23" t="str">
        <f>IF(SOL_LICITUDS_PRESTEC!G20&gt;=TODAY(),SOL_LICITUDS_PRESTEC!G20,"Error")
</f>
        <v>Error</v>
      </c>
      <c r="J20" s="25" t="str">
        <f>IF(SOL_LICITUDS_PRESTEC!H8&gt;G20,SOL_LICITUDS_PRESTEC!H20,"Error")</f>
        <v>Error</v>
      </c>
      <c r="K20" s="25">
        <f t="shared" si="1"/>
        <v>0</v>
      </c>
      <c r="L20" s="60">
        <v>44809.0</v>
      </c>
      <c r="M20" s="25">
        <v>12.0</v>
      </c>
      <c r="N20" s="23" t="str">
        <f t="shared" si="2"/>
        <v>CADUCADA</v>
      </c>
      <c r="O20" s="62">
        <f t="shared" si="3"/>
        <v>0</v>
      </c>
      <c r="P20" s="61"/>
    </row>
    <row r="21">
      <c r="A21" s="59" t="s">
        <v>363</v>
      </c>
      <c r="B21" s="25" t="s">
        <v>314</v>
      </c>
      <c r="C21" s="59" t="s">
        <v>45</v>
      </c>
      <c r="D21" s="59" t="s">
        <v>364</v>
      </c>
      <c r="E21" s="25" t="s">
        <v>358</v>
      </c>
      <c r="F21" s="25" t="s">
        <v>348</v>
      </c>
      <c r="G21" s="25" t="s">
        <v>349</v>
      </c>
      <c r="H21" s="61"/>
      <c r="I21" s="23" t="str">
        <f>IF(SOL_LICITUDS_PRESTEC!G21&gt;=TODAY(),SOL_LICITUDS_PRESTEC!G21,"Error")
</f>
        <v>Error</v>
      </c>
      <c r="J21" s="25" t="str">
        <f>IF(SOL_LICITUDS_PRESTEC!H9&gt;G21,SOL_LICITUDS_PRESTEC!H21,"Error")</f>
        <v>Error</v>
      </c>
      <c r="K21" s="25">
        <f t="shared" si="1"/>
        <v>0</v>
      </c>
      <c r="L21" s="60">
        <v>44809.0</v>
      </c>
      <c r="M21" s="25">
        <v>12.0</v>
      </c>
      <c r="N21" s="23" t="str">
        <f t="shared" si="2"/>
        <v>CADUCADA</v>
      </c>
      <c r="O21" s="62">
        <f t="shared" si="3"/>
        <v>0</v>
      </c>
      <c r="P21" s="61"/>
    </row>
    <row r="22">
      <c r="A22" s="59" t="s">
        <v>365</v>
      </c>
      <c r="B22" s="25" t="s">
        <v>312</v>
      </c>
      <c r="C22" s="59" t="s">
        <v>108</v>
      </c>
      <c r="D22" s="59" t="s">
        <v>346</v>
      </c>
      <c r="E22" s="25" t="s">
        <v>366</v>
      </c>
      <c r="F22" s="25" t="s">
        <v>348</v>
      </c>
      <c r="G22" s="25" t="s">
        <v>349</v>
      </c>
      <c r="H22" s="61"/>
      <c r="I22" s="23" t="str">
        <f>IF(SOL_LICITUDS_PRESTEC!G22&gt;=TODAY(),SOL_LICITUDS_PRESTEC!G22,"Error")
</f>
        <v>Error</v>
      </c>
      <c r="J22" s="25" t="str">
        <f>IF(SOL_LICITUDS_PRESTEC!H10&gt;G22,SOL_LICITUDS_PRESTEC!H22,"Error")</f>
        <v>Error</v>
      </c>
      <c r="K22" s="25">
        <f t="shared" si="1"/>
        <v>0</v>
      </c>
      <c r="L22" s="60">
        <v>44852.0</v>
      </c>
      <c r="M22" s="25">
        <v>12.0</v>
      </c>
      <c r="N22" s="23" t="str">
        <f t="shared" si="2"/>
        <v>CADUCADA</v>
      </c>
      <c r="O22" s="62">
        <f t="shared" si="3"/>
        <v>0</v>
      </c>
      <c r="P22" s="61"/>
    </row>
    <row r="23">
      <c r="A23" s="59" t="s">
        <v>367</v>
      </c>
      <c r="B23" s="25" t="s">
        <v>313</v>
      </c>
      <c r="C23" s="59" t="s">
        <v>108</v>
      </c>
      <c r="D23" s="59" t="s">
        <v>351</v>
      </c>
      <c r="E23" s="25" t="s">
        <v>366</v>
      </c>
      <c r="F23" s="25" t="s">
        <v>348</v>
      </c>
      <c r="G23" s="25" t="s">
        <v>349</v>
      </c>
      <c r="H23" s="61"/>
      <c r="I23" s="23" t="str">
        <f>IF(SOL_LICITUDS_PRESTEC!G23&gt;=TODAY(),SOL_LICITUDS_PRESTEC!G23,"Error")
</f>
        <v>Error</v>
      </c>
      <c r="J23" s="25" t="str">
        <f>IF(SOL_LICITUDS_PRESTEC!H11&gt;G23,SOL_LICITUDS_PRESTEC!H23,"Error")</f>
        <v>Error</v>
      </c>
      <c r="K23" s="25">
        <f t="shared" si="1"/>
        <v>0</v>
      </c>
      <c r="L23" s="60">
        <v>44852.0</v>
      </c>
      <c r="M23" s="25">
        <v>24.0</v>
      </c>
      <c r="N23" s="23" t="str">
        <f t="shared" si="2"/>
        <v>CADUCADA</v>
      </c>
      <c r="O23" s="62">
        <f t="shared" si="3"/>
        <v>0</v>
      </c>
      <c r="P23" s="61"/>
    </row>
    <row r="24">
      <c r="A24" s="59" t="s">
        <v>368</v>
      </c>
      <c r="B24" s="25" t="s">
        <v>58</v>
      </c>
      <c r="C24" s="59" t="s">
        <v>108</v>
      </c>
      <c r="D24" s="59" t="s">
        <v>352</v>
      </c>
      <c r="E24" s="25" t="s">
        <v>366</v>
      </c>
      <c r="F24" s="25" t="s">
        <v>348</v>
      </c>
      <c r="G24" s="25" t="s">
        <v>349</v>
      </c>
      <c r="H24" s="61"/>
      <c r="I24" s="23" t="str">
        <f>IF(SOL_LICITUDS_PRESTEC!G24&gt;=TODAY(),SOL_LICITUDS_PRESTEC!G24,"Error")
</f>
        <v>Error</v>
      </c>
      <c r="J24" s="25" t="str">
        <f>IF(SOL_LICITUDS_PRESTEC!H12&gt;G24,SOL_LICITUDS_PRESTEC!H24,"Error")</f>
        <v>Error</v>
      </c>
      <c r="K24" s="25">
        <f t="shared" si="1"/>
        <v>0</v>
      </c>
      <c r="L24" s="60">
        <v>44852.0</v>
      </c>
      <c r="M24" s="25">
        <v>12.0</v>
      </c>
      <c r="N24" s="23" t="str">
        <f t="shared" si="2"/>
        <v>CADUCADA</v>
      </c>
      <c r="O24" s="62">
        <f t="shared" si="3"/>
        <v>0</v>
      </c>
      <c r="P24" s="61"/>
    </row>
    <row r="25">
      <c r="A25" s="59" t="s">
        <v>369</v>
      </c>
      <c r="B25" s="25" t="s">
        <v>314</v>
      </c>
      <c r="C25" s="59" t="s">
        <v>108</v>
      </c>
      <c r="D25" s="59" t="s">
        <v>353</v>
      </c>
      <c r="E25" s="25" t="s">
        <v>366</v>
      </c>
      <c r="F25" s="25" t="s">
        <v>348</v>
      </c>
      <c r="G25" s="25" t="s">
        <v>349</v>
      </c>
      <c r="H25" s="61"/>
      <c r="I25" s="23" t="str">
        <f>IF(SOL_LICITUDS_PRESTEC!G25&gt;=TODAY(),SOL_LICITUDS_PRESTEC!G25,"Error")
</f>
        <v>Error</v>
      </c>
      <c r="J25" s="25" t="str">
        <f>IF(SOL_LICITUDS_PRESTEC!H13&gt;G25,SOL_LICITUDS_PRESTEC!H25,"Error")</f>
        <v>Error</v>
      </c>
      <c r="K25" s="25">
        <f t="shared" si="1"/>
        <v>0</v>
      </c>
      <c r="L25" s="60">
        <v>44852.0</v>
      </c>
      <c r="M25" s="25">
        <v>12.0</v>
      </c>
      <c r="N25" s="23" t="str">
        <f t="shared" si="2"/>
        <v>CADUCADA</v>
      </c>
      <c r="O25" s="62">
        <f t="shared" si="3"/>
        <v>0</v>
      </c>
      <c r="P25" s="61"/>
    </row>
    <row r="26">
      <c r="A26" s="59" t="s">
        <v>370</v>
      </c>
      <c r="B26" s="25" t="s">
        <v>312</v>
      </c>
      <c r="C26" s="59" t="s">
        <v>45</v>
      </c>
      <c r="D26" s="59" t="s">
        <v>357</v>
      </c>
      <c r="E26" s="25" t="s">
        <v>371</v>
      </c>
      <c r="F26" s="25" t="s">
        <v>348</v>
      </c>
      <c r="G26" s="25" t="s">
        <v>349</v>
      </c>
      <c r="H26" s="61"/>
      <c r="I26" s="23" t="str">
        <f>IF(SOL_LICITUDS_PRESTEC!G26&gt;=TODAY(),SOL_LICITUDS_PRESTEC!G26,"Error")
</f>
        <v>Error</v>
      </c>
      <c r="J26" s="25" t="str">
        <f>IF(SOL_LICITUDS_PRESTEC!H14&gt;G26,SOL_LICITUDS_PRESTEC!H26,"Error")</f>
        <v>Error</v>
      </c>
      <c r="K26" s="25">
        <f t="shared" si="1"/>
        <v>0</v>
      </c>
      <c r="L26" s="60">
        <v>44971.0</v>
      </c>
      <c r="M26" s="25">
        <v>12.0</v>
      </c>
      <c r="N26" s="23" t="str">
        <f t="shared" si="2"/>
        <v>CADUCADA</v>
      </c>
      <c r="O26" s="62">
        <f t="shared" si="3"/>
        <v>0</v>
      </c>
      <c r="P26" s="61"/>
    </row>
    <row r="27">
      <c r="A27" s="59" t="s">
        <v>372</v>
      </c>
      <c r="B27" s="25" t="s">
        <v>313</v>
      </c>
      <c r="C27" s="59" t="s">
        <v>45</v>
      </c>
      <c r="D27" s="59" t="s">
        <v>360</v>
      </c>
      <c r="E27" s="25" t="s">
        <v>371</v>
      </c>
      <c r="F27" s="25" t="s">
        <v>348</v>
      </c>
      <c r="G27" s="25" t="s">
        <v>349</v>
      </c>
      <c r="H27" s="61"/>
      <c r="I27" s="23" t="str">
        <f>IF(SOL_LICITUDS_PRESTEC!G27&gt;=TODAY(),SOL_LICITUDS_PRESTEC!G27,"Error")
</f>
        <v>Error</v>
      </c>
      <c r="J27" s="25" t="str">
        <f>IF(SOL_LICITUDS_PRESTEC!H15&gt;G27,SOL_LICITUDS_PRESTEC!H27,"Error")</f>
        <v>Error</v>
      </c>
      <c r="K27" s="25">
        <f t="shared" si="1"/>
        <v>0</v>
      </c>
      <c r="L27" s="60">
        <v>44971.0</v>
      </c>
      <c r="M27" s="25">
        <v>24.0</v>
      </c>
      <c r="N27" s="23" t="str">
        <f t="shared" si="2"/>
        <v>CADUCADA</v>
      </c>
      <c r="O27" s="62">
        <f t="shared" si="3"/>
        <v>0</v>
      </c>
      <c r="P27" s="61"/>
    </row>
    <row r="28">
      <c r="A28" s="59" t="s">
        <v>373</v>
      </c>
      <c r="B28" s="25" t="s">
        <v>58</v>
      </c>
      <c r="C28" s="59" t="s">
        <v>374</v>
      </c>
      <c r="D28" s="59" t="s">
        <v>375</v>
      </c>
      <c r="E28" s="25" t="s">
        <v>371</v>
      </c>
      <c r="F28" s="25" t="s">
        <v>348</v>
      </c>
      <c r="G28" s="25" t="s">
        <v>349</v>
      </c>
      <c r="H28" s="61"/>
      <c r="I28" s="23" t="str">
        <f>IF(SOL_LICITUDS_PRESTEC!G28&gt;=TODAY(),SOL_LICITUDS_PRESTEC!G28,"Error")
</f>
        <v>Error</v>
      </c>
      <c r="J28" s="25" t="str">
        <f>IF(SOL_LICITUDS_PRESTEC!H16&gt;G28,SOL_LICITUDS_PRESTEC!H28,"Error")</f>
        <v>Error</v>
      </c>
      <c r="K28" s="25">
        <f t="shared" si="1"/>
        <v>0</v>
      </c>
      <c r="L28" s="60">
        <v>44971.0</v>
      </c>
      <c r="M28" s="25">
        <v>12.0</v>
      </c>
      <c r="N28" s="23" t="str">
        <f t="shared" si="2"/>
        <v>CADUCADA</v>
      </c>
      <c r="O28" s="62">
        <f t="shared" si="3"/>
        <v>0</v>
      </c>
      <c r="P28" s="62"/>
    </row>
    <row r="29">
      <c r="A29" s="59" t="s">
        <v>376</v>
      </c>
      <c r="B29" s="25" t="s">
        <v>314</v>
      </c>
      <c r="C29" s="59" t="s">
        <v>374</v>
      </c>
      <c r="D29" s="59" t="s">
        <v>377</v>
      </c>
      <c r="E29" s="25" t="s">
        <v>371</v>
      </c>
      <c r="F29" s="25" t="s">
        <v>348</v>
      </c>
      <c r="G29" s="25" t="s">
        <v>349</v>
      </c>
      <c r="H29" s="61"/>
      <c r="I29" s="23" t="str">
        <f>IF(SOL_LICITUDS_PRESTEC!G29&gt;=TODAY(),SOL_LICITUDS_PRESTEC!G29,"Error")
</f>
        <v>Error</v>
      </c>
      <c r="J29" s="25" t="str">
        <f>IF(SOL_LICITUDS_PRESTEC!H17&gt;G29,SOL_LICITUDS_PRESTEC!H29,"Error")</f>
        <v>Error</v>
      </c>
      <c r="K29" s="25">
        <f t="shared" si="1"/>
        <v>0</v>
      </c>
      <c r="L29" s="60">
        <v>44971.0</v>
      </c>
      <c r="M29" s="25">
        <v>12.0</v>
      </c>
      <c r="N29" s="23" t="str">
        <f t="shared" si="2"/>
        <v>CADUCADA</v>
      </c>
      <c r="O29" s="62">
        <f t="shared" si="3"/>
        <v>0</v>
      </c>
      <c r="P29" s="61"/>
    </row>
    <row r="30">
      <c r="A30" s="59" t="s">
        <v>378</v>
      </c>
      <c r="B30" s="25" t="s">
        <v>315</v>
      </c>
      <c r="C30" s="59" t="s">
        <v>108</v>
      </c>
      <c r="D30" s="59" t="s">
        <v>379</v>
      </c>
      <c r="E30" s="25" t="s">
        <v>371</v>
      </c>
      <c r="F30" s="25" t="s">
        <v>348</v>
      </c>
      <c r="G30" s="25" t="s">
        <v>349</v>
      </c>
      <c r="H30" s="61"/>
      <c r="I30" s="23" t="str">
        <f>IF(SOL_LICITUDS_PRESTEC!G30&gt;=TODAY(),SOL_LICITUDS_PRESTEC!G30,"Error")
</f>
        <v>Error</v>
      </c>
      <c r="J30" s="25" t="str">
        <f>IF(SOL_LICITUDS_PRESTEC!H18&gt;G30,SOL_LICITUDS_PRESTEC!H30,"Error")</f>
        <v>Error</v>
      </c>
      <c r="K30" s="25">
        <f t="shared" si="1"/>
        <v>0</v>
      </c>
      <c r="L30" s="60">
        <v>44788.0</v>
      </c>
      <c r="M30" s="25">
        <v>24.0</v>
      </c>
      <c r="N30" s="23" t="str">
        <f t="shared" si="2"/>
        <v>CADUCADA</v>
      </c>
      <c r="O30" s="62">
        <f t="shared" si="3"/>
        <v>0</v>
      </c>
      <c r="P30" s="61"/>
    </row>
    <row r="31">
      <c r="A31" s="59" t="s">
        <v>181</v>
      </c>
      <c r="B31" s="25" t="s">
        <v>315</v>
      </c>
      <c r="C31" s="59" t="s">
        <v>380</v>
      </c>
      <c r="D31" s="59" t="s">
        <v>381</v>
      </c>
      <c r="E31" s="25" t="s">
        <v>382</v>
      </c>
      <c r="F31" s="25" t="s">
        <v>348</v>
      </c>
      <c r="G31" s="25" t="s">
        <v>354</v>
      </c>
      <c r="H31" s="61"/>
      <c r="I31" s="23" t="str">
        <f>IF(SOL_LICITUDS_PRESTEC!G31&gt;=TODAY(),SOL_LICITUDS_PRESTEC!G31,"Error")
</f>
        <v>Error</v>
      </c>
      <c r="J31" s="25" t="str">
        <f>IF(SOL_LICITUDS_PRESTEC!H19&gt;G31,SOL_LICITUDS_PRESTEC!H31,"Error")</f>
        <v>Error</v>
      </c>
      <c r="K31" s="25">
        <f t="shared" si="1"/>
        <v>0</v>
      </c>
      <c r="L31" s="60">
        <v>44533.0</v>
      </c>
      <c r="M31" s="25">
        <v>24.0</v>
      </c>
      <c r="N31" s="23" t="str">
        <f t="shared" si="2"/>
        <v>CADUCADA</v>
      </c>
      <c r="O31" s="62">
        <f t="shared" si="3"/>
        <v>0</v>
      </c>
      <c r="P31" s="59" t="s">
        <v>383</v>
      </c>
    </row>
    <row r="32">
      <c r="A32" s="59" t="s">
        <v>384</v>
      </c>
      <c r="B32" s="25" t="s">
        <v>315</v>
      </c>
      <c r="C32" s="59" t="s">
        <v>385</v>
      </c>
      <c r="D32" s="59" t="s">
        <v>386</v>
      </c>
      <c r="E32" s="25" t="s">
        <v>387</v>
      </c>
      <c r="F32" s="25" t="s">
        <v>348</v>
      </c>
      <c r="G32" s="25" t="s">
        <v>349</v>
      </c>
      <c r="H32" s="61"/>
      <c r="I32" s="23" t="str">
        <f>IF(SOL_LICITUDS_PRESTEC!G32&gt;=TODAY(),SOL_LICITUDS_PRESTEC!G32,"Error")
</f>
        <v>Error</v>
      </c>
      <c r="J32" s="25" t="str">
        <f>IF(SOL_LICITUDS_PRESTEC!H20&gt;G32,SOL_LICITUDS_PRESTEC!H32,"Error")</f>
        <v>Error</v>
      </c>
      <c r="K32" s="25">
        <f t="shared" si="1"/>
        <v>0</v>
      </c>
      <c r="L32" s="60">
        <v>45028.0</v>
      </c>
      <c r="M32" s="25">
        <v>24.0</v>
      </c>
      <c r="N32" s="23" t="str">
        <f t="shared" si="2"/>
        <v>CADUCADA</v>
      </c>
      <c r="O32" s="62">
        <f t="shared" si="3"/>
        <v>0</v>
      </c>
      <c r="P32" s="61"/>
    </row>
    <row r="33">
      <c r="A33" s="59" t="s">
        <v>193</v>
      </c>
      <c r="B33" s="25" t="s">
        <v>13</v>
      </c>
      <c r="C33" s="59" t="s">
        <v>45</v>
      </c>
      <c r="D33" s="59" t="s">
        <v>388</v>
      </c>
      <c r="E33" s="25" t="s">
        <v>330</v>
      </c>
      <c r="F33" s="25" t="s">
        <v>331</v>
      </c>
      <c r="G33" s="25" t="s">
        <v>389</v>
      </c>
      <c r="H33" s="61"/>
      <c r="I33" s="23" t="str">
        <f>IF(SOL_LICITUDS_PRESTEC!G33&gt;=TODAY(),SOL_LICITUDS_PRESTEC!G33,"Error")
</f>
        <v>Error</v>
      </c>
      <c r="J33" s="25" t="str">
        <f>IF(SOL_LICITUDS_PRESTEC!H21&gt;G33,SOL_LICITUDS_PRESTEC!H33,"Error")</f>
        <v>Error</v>
      </c>
      <c r="K33" s="25">
        <f t="shared" si="1"/>
        <v>0</v>
      </c>
      <c r="L33" s="60">
        <v>45092.0</v>
      </c>
      <c r="M33" s="25">
        <v>36.0</v>
      </c>
      <c r="N33" s="23" t="str">
        <f t="shared" si="2"/>
        <v>VIGENT</v>
      </c>
      <c r="O33" s="62">
        <f t="shared" si="3"/>
        <v>0</v>
      </c>
      <c r="P33" s="61"/>
    </row>
    <row r="34">
      <c r="A34" s="59" t="s">
        <v>390</v>
      </c>
      <c r="B34" s="25" t="s">
        <v>13</v>
      </c>
      <c r="C34" s="59" t="s">
        <v>108</v>
      </c>
      <c r="D34" s="59" t="s">
        <v>391</v>
      </c>
      <c r="E34" s="25" t="s">
        <v>330</v>
      </c>
      <c r="F34" s="25" t="s">
        <v>331</v>
      </c>
      <c r="G34" s="25" t="s">
        <v>389</v>
      </c>
      <c r="H34" s="61"/>
      <c r="I34" s="23" t="str">
        <f>IF(SOL_LICITUDS_PRESTEC!G34&gt;=TODAY(),SOL_LICITUDS_PRESTEC!G34,"Error")
</f>
        <v>Error</v>
      </c>
      <c r="J34" s="25" t="str">
        <f>IF(SOL_LICITUDS_PRESTEC!H22&gt;G34,SOL_LICITUDS_PRESTEC!H34,"Error")</f>
        <v>Error</v>
      </c>
      <c r="K34" s="25">
        <f t="shared" si="1"/>
        <v>0</v>
      </c>
      <c r="L34" s="60">
        <v>45148.0</v>
      </c>
      <c r="M34" s="25">
        <v>12.0</v>
      </c>
      <c r="N34" s="23" t="str">
        <f t="shared" si="2"/>
        <v>CADUCADA</v>
      </c>
      <c r="O34" s="62">
        <f t="shared" si="3"/>
        <v>0</v>
      </c>
      <c r="P34" s="61"/>
    </row>
    <row r="35">
      <c r="A35" s="59" t="s">
        <v>392</v>
      </c>
      <c r="B35" s="25" t="s">
        <v>13</v>
      </c>
      <c r="C35" s="59" t="s">
        <v>108</v>
      </c>
      <c r="D35" s="59" t="s">
        <v>393</v>
      </c>
      <c r="E35" s="25" t="s">
        <v>330</v>
      </c>
      <c r="F35" s="25" t="s">
        <v>331</v>
      </c>
      <c r="G35" s="25" t="s">
        <v>389</v>
      </c>
      <c r="H35" s="61"/>
      <c r="I35" s="23" t="str">
        <f>IF(SOL_LICITUDS_PRESTEC!G35&gt;=TODAY(),SOL_LICITUDS_PRESTEC!G35,"Error")
</f>
        <v>Error</v>
      </c>
      <c r="J35" s="25" t="str">
        <f>IF(SOL_LICITUDS_PRESTEC!H23&gt;G35,SOL_LICITUDS_PRESTEC!H35,"Error")</f>
        <v>Error</v>
      </c>
      <c r="K35" s="25">
        <f t="shared" si="1"/>
        <v>0</v>
      </c>
      <c r="L35" s="60">
        <v>45191.0</v>
      </c>
      <c r="M35" s="25">
        <v>12.0</v>
      </c>
      <c r="N35" s="23" t="str">
        <f t="shared" si="2"/>
        <v>CADUCADA</v>
      </c>
      <c r="O35" s="62">
        <f t="shared" si="3"/>
        <v>0</v>
      </c>
      <c r="P35" s="61"/>
    </row>
    <row r="36">
      <c r="A36" s="59" t="s">
        <v>394</v>
      </c>
      <c r="B36" s="25" t="s">
        <v>13</v>
      </c>
      <c r="C36" s="59" t="s">
        <v>45</v>
      </c>
      <c r="D36" s="59" t="s">
        <v>395</v>
      </c>
      <c r="E36" s="25" t="s">
        <v>330</v>
      </c>
      <c r="F36" s="25" t="s">
        <v>331</v>
      </c>
      <c r="G36" s="25" t="s">
        <v>389</v>
      </c>
      <c r="H36" s="61"/>
      <c r="I36" s="23" t="str">
        <f>IF(SOL_LICITUDS_PRESTEC!G36&gt;=TODAY(),SOL_LICITUDS_PRESTEC!G36,"Error")
</f>
        <v>Error</v>
      </c>
      <c r="J36" s="25" t="str">
        <f>IF(SOL_LICITUDS_PRESTEC!H24&gt;G36,SOL_LICITUDS_PRESTEC!H36,"Error")</f>
        <v>Error</v>
      </c>
      <c r="K36" s="25">
        <f t="shared" si="1"/>
        <v>0</v>
      </c>
      <c r="L36" s="60">
        <v>44699.0</v>
      </c>
      <c r="M36" s="25">
        <v>12.0</v>
      </c>
      <c r="N36" s="23" t="str">
        <f t="shared" si="2"/>
        <v>CADUCADA</v>
      </c>
      <c r="O36" s="62">
        <f t="shared" si="3"/>
        <v>0</v>
      </c>
      <c r="P36" s="61"/>
    </row>
    <row r="37">
      <c r="A37" s="59" t="s">
        <v>396</v>
      </c>
      <c r="B37" s="25" t="s">
        <v>13</v>
      </c>
      <c r="C37" s="59" t="s">
        <v>108</v>
      </c>
      <c r="D37" s="59" t="s">
        <v>397</v>
      </c>
      <c r="E37" s="25" t="s">
        <v>398</v>
      </c>
      <c r="F37" s="25" t="s">
        <v>348</v>
      </c>
      <c r="G37" s="25" t="s">
        <v>349</v>
      </c>
      <c r="H37" s="61"/>
      <c r="I37" s="23" t="str">
        <f>IF(SOL_LICITUDS_PRESTEC!G37&gt;=TODAY(),SOL_LICITUDS_PRESTEC!G37,"Error")
</f>
        <v>Error</v>
      </c>
      <c r="J37" s="25" t="str">
        <f>IF(SOL_LICITUDS_PRESTEC!H25&gt;G37,SOL_LICITUDS_PRESTEC!H37,"Error")</f>
        <v>Error</v>
      </c>
      <c r="K37" s="25">
        <f t="shared" si="1"/>
        <v>0</v>
      </c>
      <c r="L37" s="60">
        <v>45204.0</v>
      </c>
      <c r="M37" s="25">
        <v>12.0</v>
      </c>
      <c r="N37" s="23" t="str">
        <f t="shared" si="2"/>
        <v>CADUCADA</v>
      </c>
      <c r="O37" s="62">
        <f t="shared" si="3"/>
        <v>0</v>
      </c>
      <c r="P37" s="61"/>
    </row>
    <row r="38">
      <c r="A38" s="59" t="s">
        <v>399</v>
      </c>
      <c r="B38" s="25" t="s">
        <v>13</v>
      </c>
      <c r="C38" s="59" t="s">
        <v>45</v>
      </c>
      <c r="D38" s="59" t="s">
        <v>400</v>
      </c>
      <c r="E38" s="25" t="s">
        <v>358</v>
      </c>
      <c r="F38" s="25" t="s">
        <v>348</v>
      </c>
      <c r="G38" s="25" t="s">
        <v>349</v>
      </c>
      <c r="H38" s="61"/>
      <c r="I38" s="23" t="str">
        <f>IF(SOL_LICITUDS_PRESTEC!G38&gt;=TODAY(),SOL_LICITUDS_PRESTEC!G38,"Error")
</f>
        <v>Error</v>
      </c>
      <c r="J38" s="25" t="str">
        <f>IF(SOL_LICITUDS_PRESTEC!H26&gt;G38,SOL_LICITUDS_PRESTEC!H38,"Error")</f>
        <v>Error</v>
      </c>
      <c r="K38" s="25">
        <f t="shared" si="1"/>
        <v>0</v>
      </c>
      <c r="L38" s="60">
        <v>45248.0</v>
      </c>
      <c r="M38" s="25">
        <v>12.0</v>
      </c>
      <c r="N38" s="23" t="str">
        <f t="shared" si="2"/>
        <v>CADUCADA</v>
      </c>
      <c r="O38" s="62">
        <f t="shared" si="3"/>
        <v>0</v>
      </c>
      <c r="P38" s="62"/>
    </row>
    <row r="39">
      <c r="A39" s="59" t="s">
        <v>401</v>
      </c>
      <c r="B39" s="25" t="s">
        <v>19</v>
      </c>
      <c r="C39" s="59" t="s">
        <v>62</v>
      </c>
      <c r="D39" s="59" t="s">
        <v>402</v>
      </c>
      <c r="E39" s="25" t="s">
        <v>330</v>
      </c>
      <c r="F39" s="25" t="s">
        <v>331</v>
      </c>
      <c r="G39" s="25" t="s">
        <v>389</v>
      </c>
      <c r="H39" s="61"/>
      <c r="I39" s="23" t="str">
        <f>IF(SOL_LICITUDS_PRESTEC!G39&gt;=TODAY(),SOL_LICITUDS_PRESTEC!G39,"Error")
</f>
        <v>Error</v>
      </c>
      <c r="J39" s="25" t="str">
        <f>IF(SOL_LICITUDS_PRESTEC!H27&gt;G39,SOL_LICITUDS_PRESTEC!H39,"Error")</f>
        <v>Error</v>
      </c>
      <c r="K39" s="25">
        <f t="shared" si="1"/>
        <v>0</v>
      </c>
      <c r="L39" s="60">
        <v>45076.0</v>
      </c>
      <c r="M39" s="25">
        <v>24.0</v>
      </c>
      <c r="N39" s="23" t="str">
        <f t="shared" si="2"/>
        <v>CADUCADA</v>
      </c>
      <c r="O39" s="62">
        <f t="shared" si="3"/>
        <v>0</v>
      </c>
      <c r="P39" s="61"/>
    </row>
    <row r="40">
      <c r="A40" s="59" t="s">
        <v>403</v>
      </c>
      <c r="B40" s="25" t="s">
        <v>19</v>
      </c>
      <c r="C40" s="59" t="s">
        <v>62</v>
      </c>
      <c r="D40" s="59" t="s">
        <v>404</v>
      </c>
      <c r="E40" s="25" t="s">
        <v>330</v>
      </c>
      <c r="F40" s="25" t="s">
        <v>331</v>
      </c>
      <c r="G40" s="25" t="s">
        <v>389</v>
      </c>
      <c r="H40" s="61"/>
      <c r="I40" s="23" t="str">
        <f>IF(SOL_LICITUDS_PRESTEC!G40&gt;=TODAY(),SOL_LICITUDS_PRESTEC!G40,"Error")
</f>
        <v>Error</v>
      </c>
      <c r="J40" s="25" t="str">
        <f>IF(SOL_LICITUDS_PRESTEC!H28&gt;G40,SOL_LICITUDS_PRESTEC!H40,"Error")</f>
        <v>Error</v>
      </c>
      <c r="K40" s="25">
        <f t="shared" si="1"/>
        <v>0</v>
      </c>
      <c r="L40" s="60">
        <v>45152.0</v>
      </c>
      <c r="M40" s="25">
        <v>24.0</v>
      </c>
      <c r="N40" s="23" t="str">
        <f t="shared" si="2"/>
        <v>CADUCADA</v>
      </c>
      <c r="O40" s="62">
        <f t="shared" si="3"/>
        <v>0</v>
      </c>
      <c r="P40" s="62"/>
    </row>
    <row r="41">
      <c r="A41" s="59" t="s">
        <v>187</v>
      </c>
      <c r="B41" s="25" t="s">
        <v>19</v>
      </c>
      <c r="C41" s="59" t="s">
        <v>405</v>
      </c>
      <c r="D41" s="59" t="s">
        <v>406</v>
      </c>
      <c r="E41" s="25" t="s">
        <v>330</v>
      </c>
      <c r="F41" s="25" t="s">
        <v>348</v>
      </c>
      <c r="G41" s="25" t="s">
        <v>354</v>
      </c>
      <c r="H41" s="61"/>
      <c r="I41" s="23" t="str">
        <f>IF(SOL_LICITUDS_PRESTEC!G41&gt;=TODAY(),SOL_LICITUDS_PRESTEC!G41,"Error")
</f>
        <v>Error</v>
      </c>
      <c r="J41" s="25" t="str">
        <f>IF(SOL_LICITUDS_PRESTEC!H29&gt;G41,SOL_LICITUDS_PRESTEC!H41,"Error")</f>
        <v>Error</v>
      </c>
      <c r="K41" s="25">
        <f t="shared" si="1"/>
        <v>0</v>
      </c>
      <c r="L41" s="60">
        <v>45117.0</v>
      </c>
      <c r="M41" s="25">
        <v>36.0</v>
      </c>
      <c r="N41" s="23" t="str">
        <f t="shared" si="2"/>
        <v>VIGENT</v>
      </c>
      <c r="O41" s="62">
        <f t="shared" si="3"/>
        <v>0</v>
      </c>
      <c r="P41" s="59" t="s">
        <v>249</v>
      </c>
    </row>
    <row r="42">
      <c r="A42" s="59" t="s">
        <v>407</v>
      </c>
      <c r="B42" s="25" t="s">
        <v>19</v>
      </c>
      <c r="C42" s="59" t="s">
        <v>62</v>
      </c>
      <c r="D42" s="59" t="s">
        <v>408</v>
      </c>
      <c r="E42" s="25" t="s">
        <v>330</v>
      </c>
      <c r="F42" s="25" t="s">
        <v>331</v>
      </c>
      <c r="G42" s="25" t="s">
        <v>237</v>
      </c>
      <c r="H42" s="61"/>
      <c r="I42" s="23" t="str">
        <f>IF(SOL_LICITUDS_PRESTEC!G42&gt;=TODAY(),SOL_LICITUDS_PRESTEC!G42,"Error")
</f>
        <v>Error</v>
      </c>
      <c r="J42" s="25" t="str">
        <f>IF(SOL_LICITUDS_PRESTEC!H30&gt;G42,SOL_LICITUDS_PRESTEC!H42,"Error")</f>
        <v>Error</v>
      </c>
      <c r="K42" s="25">
        <f t="shared" si="1"/>
        <v>0</v>
      </c>
      <c r="L42" s="60">
        <v>45174.0</v>
      </c>
      <c r="M42" s="25">
        <v>24.0</v>
      </c>
      <c r="N42" s="23" t="str">
        <f t="shared" si="2"/>
        <v>CADUCADA</v>
      </c>
      <c r="O42" s="62">
        <f t="shared" si="3"/>
        <v>0</v>
      </c>
      <c r="P42" s="61"/>
    </row>
    <row r="43">
      <c r="A43" s="59" t="s">
        <v>188</v>
      </c>
      <c r="B43" s="25" t="s">
        <v>40</v>
      </c>
      <c r="C43" s="59" t="s">
        <v>41</v>
      </c>
      <c r="D43" s="59">
        <v>13.0</v>
      </c>
      <c r="E43" s="25" t="s">
        <v>330</v>
      </c>
      <c r="F43" s="25" t="s">
        <v>348</v>
      </c>
      <c r="G43" s="25" t="s">
        <v>349</v>
      </c>
      <c r="H43" s="61"/>
      <c r="I43" s="23" t="str">
        <f>IF(SOL_LICITUDS_PRESTEC!G43&gt;=TODAY(),SOL_LICITUDS_PRESTEC!G43,"Error")
</f>
        <v>Error</v>
      </c>
      <c r="J43" s="25" t="str">
        <f>IF(SOL_LICITUDS_PRESTEC!H31&gt;G43,SOL_LICITUDS_PRESTEC!H43,"Error")</f>
        <v>Error</v>
      </c>
      <c r="K43" s="25">
        <f t="shared" si="1"/>
        <v>0</v>
      </c>
      <c r="L43" s="60">
        <v>45036.0</v>
      </c>
      <c r="M43" s="25">
        <v>36.0</v>
      </c>
      <c r="N43" s="23" t="str">
        <f t="shared" si="2"/>
        <v>VIGENT</v>
      </c>
      <c r="O43" s="62">
        <f t="shared" si="3"/>
        <v>0</v>
      </c>
      <c r="P43" s="59" t="s">
        <v>409</v>
      </c>
    </row>
    <row r="44">
      <c r="A44" s="59" t="s">
        <v>410</v>
      </c>
      <c r="B44" s="25" t="s">
        <v>40</v>
      </c>
      <c r="C44" s="59" t="s">
        <v>49</v>
      </c>
      <c r="D44" s="59" t="s">
        <v>411</v>
      </c>
      <c r="E44" s="25" t="s">
        <v>330</v>
      </c>
      <c r="F44" s="25" t="s">
        <v>331</v>
      </c>
      <c r="G44" s="25" t="s">
        <v>389</v>
      </c>
      <c r="H44" s="61"/>
      <c r="I44" s="23" t="str">
        <f>IF(SOL_LICITUDS_PRESTEC!G44&gt;=TODAY(),SOL_LICITUDS_PRESTEC!G44,"Error")
</f>
        <v>Error</v>
      </c>
      <c r="J44" s="25" t="str">
        <f>IF(SOL_LICITUDS_PRESTEC!H32&gt;G44,SOL_LICITUDS_PRESTEC!H44,"Error")</f>
        <v>Error</v>
      </c>
      <c r="K44" s="25">
        <f t="shared" si="1"/>
        <v>0</v>
      </c>
      <c r="L44" s="60">
        <v>45085.0</v>
      </c>
      <c r="M44" s="25">
        <v>24.0</v>
      </c>
      <c r="N44" s="23" t="str">
        <f t="shared" si="2"/>
        <v>CADUCADA</v>
      </c>
      <c r="O44" s="62">
        <f t="shared" si="3"/>
        <v>0</v>
      </c>
      <c r="P44" s="61"/>
    </row>
    <row r="45">
      <c r="A45" s="59" t="s">
        <v>412</v>
      </c>
      <c r="B45" s="25" t="s">
        <v>40</v>
      </c>
      <c r="C45" s="59" t="s">
        <v>49</v>
      </c>
      <c r="D45" s="59" t="s">
        <v>413</v>
      </c>
      <c r="E45" s="25" t="s">
        <v>330</v>
      </c>
      <c r="F45" s="25" t="s">
        <v>331</v>
      </c>
      <c r="G45" s="25" t="s">
        <v>389</v>
      </c>
      <c r="H45" s="61"/>
      <c r="I45" s="23" t="str">
        <f>IF(SOL_LICITUDS_PRESTEC!G45&gt;=TODAY(),SOL_LICITUDS_PRESTEC!G45,"Error")
</f>
        <v>Error</v>
      </c>
      <c r="J45" s="25" t="str">
        <f>IF(SOL_LICITUDS_PRESTEC!H33&gt;G45,SOL_LICITUDS_PRESTEC!H45,"Error")</f>
        <v>Error</v>
      </c>
      <c r="K45" s="25">
        <f t="shared" si="1"/>
        <v>0</v>
      </c>
      <c r="L45" s="60">
        <v>45122.0</v>
      </c>
      <c r="M45" s="25">
        <v>24.0</v>
      </c>
      <c r="N45" s="23" t="str">
        <f t="shared" si="2"/>
        <v>CADUCADA</v>
      </c>
      <c r="O45" s="62">
        <f t="shared" si="3"/>
        <v>0</v>
      </c>
      <c r="P45" s="61"/>
    </row>
    <row r="46">
      <c r="A46" s="59" t="s">
        <v>414</v>
      </c>
      <c r="B46" s="25" t="s">
        <v>40</v>
      </c>
      <c r="C46" s="59" t="s">
        <v>41</v>
      </c>
      <c r="D46" s="59" t="s">
        <v>415</v>
      </c>
      <c r="E46" s="25" t="s">
        <v>330</v>
      </c>
      <c r="F46" s="25" t="s">
        <v>348</v>
      </c>
      <c r="G46" s="25" t="s">
        <v>354</v>
      </c>
      <c r="H46" s="61"/>
      <c r="I46" s="23" t="str">
        <f>IF(SOL_LICITUDS_PRESTEC!G46&gt;=TODAY(),SOL_LICITUDS_PRESTEC!G46,"Error")
</f>
        <v>Error</v>
      </c>
      <c r="J46" s="25" t="str">
        <f>IF(SOL_LICITUDS_PRESTEC!H34&gt;G46,SOL_LICITUDS_PRESTEC!H46,"Error")</f>
        <v>Error</v>
      </c>
      <c r="K46" s="25">
        <f t="shared" si="1"/>
        <v>0</v>
      </c>
      <c r="L46" s="60">
        <v>44803.0</v>
      </c>
      <c r="M46" s="25">
        <v>24.0</v>
      </c>
      <c r="N46" s="23" t="str">
        <f t="shared" si="2"/>
        <v>CADUCADA</v>
      </c>
      <c r="O46" s="62">
        <f t="shared" si="3"/>
        <v>0</v>
      </c>
      <c r="P46" s="59" t="s">
        <v>416</v>
      </c>
    </row>
    <row r="47">
      <c r="A47" s="59" t="s">
        <v>417</v>
      </c>
      <c r="B47" s="25" t="s">
        <v>40</v>
      </c>
      <c r="C47" s="59" t="s">
        <v>418</v>
      </c>
      <c r="D47" s="59" t="s">
        <v>419</v>
      </c>
      <c r="E47" s="25" t="s">
        <v>330</v>
      </c>
      <c r="F47" s="25" t="s">
        <v>331</v>
      </c>
      <c r="G47" s="25" t="s">
        <v>389</v>
      </c>
      <c r="H47" s="61"/>
      <c r="I47" s="23" t="str">
        <f>IF(SOL_LICITUDS_PRESTEC!G47&gt;=TODAY(),SOL_LICITUDS_PRESTEC!G47,"Error")
</f>
        <v>Error</v>
      </c>
      <c r="J47" s="25" t="str">
        <f>IF(SOL_LICITUDS_PRESTEC!H35&gt;G47,SOL_LICITUDS_PRESTEC!H47,"Error")</f>
        <v>Error</v>
      </c>
      <c r="K47" s="25">
        <f t="shared" si="1"/>
        <v>0</v>
      </c>
      <c r="L47" s="60">
        <v>45270.0</v>
      </c>
      <c r="M47" s="25">
        <v>24.0</v>
      </c>
      <c r="N47" s="23" t="str">
        <f t="shared" si="2"/>
        <v>VIGENT</v>
      </c>
      <c r="O47" s="62">
        <f t="shared" si="3"/>
        <v>0</v>
      </c>
      <c r="P47" s="61"/>
    </row>
    <row r="48">
      <c r="A48" s="59" t="s">
        <v>194</v>
      </c>
      <c r="B48" s="25" t="s">
        <v>24</v>
      </c>
      <c r="C48" s="59" t="s">
        <v>420</v>
      </c>
      <c r="D48" s="59" t="s">
        <v>69</v>
      </c>
      <c r="E48" s="25" t="s">
        <v>330</v>
      </c>
      <c r="F48" s="25" t="s">
        <v>331</v>
      </c>
      <c r="G48" s="25" t="s">
        <v>389</v>
      </c>
      <c r="H48" s="61"/>
      <c r="I48" s="23" t="str">
        <f>IF(SOL_LICITUDS_PRESTEC!G48&gt;=TODAY(),SOL_LICITUDS_PRESTEC!G48,"Error")
</f>
        <v>Error</v>
      </c>
      <c r="J48" s="25" t="str">
        <f>IF(SOL_LICITUDS_PRESTEC!H36&gt;G48,SOL_LICITUDS_PRESTEC!H48,"Error")</f>
        <v>Error</v>
      </c>
      <c r="K48" s="25">
        <f t="shared" si="1"/>
        <v>0</v>
      </c>
      <c r="L48" s="60">
        <v>45038.0</v>
      </c>
      <c r="M48" s="25">
        <v>24.0</v>
      </c>
      <c r="N48" s="23" t="str">
        <f t="shared" si="2"/>
        <v>CADUCADA</v>
      </c>
      <c r="O48" s="62">
        <f t="shared" si="3"/>
        <v>0</v>
      </c>
      <c r="P48" s="62"/>
    </row>
    <row r="49">
      <c r="A49" s="59" t="s">
        <v>421</v>
      </c>
      <c r="B49" s="25" t="s">
        <v>35</v>
      </c>
      <c r="C49" s="59" t="s">
        <v>380</v>
      </c>
      <c r="D49" s="59" t="s">
        <v>422</v>
      </c>
      <c r="E49" s="25" t="s">
        <v>330</v>
      </c>
      <c r="F49" s="25" t="s">
        <v>331</v>
      </c>
      <c r="G49" s="25" t="s">
        <v>389</v>
      </c>
      <c r="H49" s="61"/>
      <c r="I49" s="23" t="str">
        <f>IF(SOL_LICITUDS_PRESTEC!G49&gt;=TODAY(),SOL_LICITUDS_PRESTEC!G49,"Error")
</f>
        <v>Error</v>
      </c>
      <c r="J49" s="25" t="str">
        <f>IF(SOL_LICITUDS_PRESTEC!H37&gt;G49,SOL_LICITUDS_PRESTEC!H49,"Error")</f>
        <v>Error</v>
      </c>
      <c r="K49" s="25">
        <f t="shared" si="1"/>
        <v>0</v>
      </c>
      <c r="L49" s="60">
        <v>44706.0</v>
      </c>
      <c r="M49" s="25">
        <v>24.0</v>
      </c>
      <c r="N49" s="23" t="str">
        <f t="shared" si="2"/>
        <v>CADUCADA</v>
      </c>
      <c r="O49" s="62">
        <f t="shared" si="3"/>
        <v>0</v>
      </c>
      <c r="P49" s="62"/>
    </row>
    <row r="50">
      <c r="A50" s="59" t="s">
        <v>423</v>
      </c>
      <c r="B50" s="25" t="s">
        <v>35</v>
      </c>
      <c r="C50" s="59" t="s">
        <v>424</v>
      </c>
      <c r="D50" s="59" t="s">
        <v>425</v>
      </c>
      <c r="E50" s="25" t="s">
        <v>330</v>
      </c>
      <c r="F50" s="25" t="s">
        <v>331</v>
      </c>
      <c r="G50" s="25" t="s">
        <v>237</v>
      </c>
      <c r="H50" s="61"/>
      <c r="I50" s="23" t="str">
        <f>IF(SOL_LICITUDS_PRESTEC!G50&gt;=TODAY(),SOL_LICITUDS_PRESTEC!G50,"Error")
</f>
        <v>Error</v>
      </c>
      <c r="J50" s="25" t="str">
        <f>IF(SOL_LICITUDS_PRESTEC!H38&gt;G50,SOL_LICITUDS_PRESTEC!H50,"Error")</f>
        <v>Error</v>
      </c>
      <c r="K50" s="25">
        <f t="shared" si="1"/>
        <v>0</v>
      </c>
      <c r="L50" s="60">
        <v>45115.0</v>
      </c>
      <c r="M50" s="25">
        <v>24.0</v>
      </c>
      <c r="N50" s="23" t="str">
        <f t="shared" si="2"/>
        <v>CADUCADA</v>
      </c>
      <c r="O50" s="62">
        <f t="shared" si="3"/>
        <v>0</v>
      </c>
      <c r="P50" s="61"/>
    </row>
    <row r="51">
      <c r="A51" s="59" t="s">
        <v>189</v>
      </c>
      <c r="B51" s="25" t="s">
        <v>35</v>
      </c>
      <c r="C51" s="59" t="s">
        <v>426</v>
      </c>
      <c r="D51" s="59" t="s">
        <v>427</v>
      </c>
      <c r="E51" s="25" t="s">
        <v>330</v>
      </c>
      <c r="F51" s="25" t="s">
        <v>348</v>
      </c>
      <c r="G51" s="25" t="s">
        <v>354</v>
      </c>
      <c r="H51" s="61"/>
      <c r="I51" s="23" t="str">
        <f>IF(SOL_LICITUDS_PRESTEC!G51&gt;=TODAY(),SOL_LICITUDS_PRESTEC!G51,"Error")
</f>
        <v>Error</v>
      </c>
      <c r="J51" s="25" t="str">
        <f>IF(SOL_LICITUDS_PRESTEC!H39&gt;G51,SOL_LICITUDS_PRESTEC!H51,"Error")</f>
        <v>Error</v>
      </c>
      <c r="K51" s="25">
        <f t="shared" si="1"/>
        <v>0</v>
      </c>
      <c r="L51" s="60">
        <v>44822.0</v>
      </c>
      <c r="M51" s="25">
        <v>24.0</v>
      </c>
      <c r="N51" s="23" t="str">
        <f t="shared" si="2"/>
        <v>CADUCADA</v>
      </c>
      <c r="O51" s="62">
        <f t="shared" si="3"/>
        <v>0</v>
      </c>
      <c r="P51" s="59" t="s">
        <v>428</v>
      </c>
    </row>
    <row r="52">
      <c r="A52" s="59" t="s">
        <v>190</v>
      </c>
      <c r="B52" s="25" t="s">
        <v>112</v>
      </c>
      <c r="C52" s="59" t="s">
        <v>429</v>
      </c>
      <c r="D52" s="59" t="s">
        <v>430</v>
      </c>
      <c r="E52" s="25" t="s">
        <v>330</v>
      </c>
      <c r="F52" s="25" t="s">
        <v>348</v>
      </c>
      <c r="G52" s="25" t="s">
        <v>349</v>
      </c>
      <c r="H52" s="61"/>
      <c r="I52" s="23" t="str">
        <f>IF(SOL_LICITUDS_PRESTEC!G52&gt;=TODAY(),SOL_LICITUDS_PRESTEC!G52,"Error")
</f>
        <v>Error</v>
      </c>
      <c r="J52" s="25" t="str">
        <f>IF(SOL_LICITUDS_PRESTEC!H40&gt;G52,SOL_LICITUDS_PRESTEC!H52,"Error")</f>
        <v>Error</v>
      </c>
      <c r="K52" s="25">
        <f t="shared" si="1"/>
        <v>0</v>
      </c>
      <c r="L52" s="60">
        <v>44499.0</v>
      </c>
      <c r="M52" s="25">
        <v>24.0</v>
      </c>
      <c r="N52" s="23" t="str">
        <f t="shared" si="2"/>
        <v>CADUCADA</v>
      </c>
      <c r="O52" s="62">
        <f t="shared" si="3"/>
        <v>0</v>
      </c>
      <c r="P52" s="59" t="s">
        <v>431</v>
      </c>
    </row>
    <row r="53">
      <c r="A53" s="59" t="s">
        <v>432</v>
      </c>
      <c r="B53" s="25" t="s">
        <v>339</v>
      </c>
      <c r="C53" s="59" t="s">
        <v>433</v>
      </c>
      <c r="D53" s="59" t="s">
        <v>434</v>
      </c>
      <c r="E53" s="25" t="s">
        <v>330</v>
      </c>
      <c r="F53" s="25" t="s">
        <v>331</v>
      </c>
      <c r="G53" s="25" t="s">
        <v>389</v>
      </c>
      <c r="H53" s="61"/>
      <c r="I53" s="23" t="str">
        <f>IF(SOL_LICITUDS_PRESTEC!G53&gt;=TODAY(),SOL_LICITUDS_PRESTEC!G53,"Error")
</f>
        <v>Error</v>
      </c>
      <c r="J53" s="25" t="str">
        <f>IF(SOL_LICITUDS_PRESTEC!H41&gt;G53,SOL_LICITUDS_PRESTEC!H53,"Error")</f>
        <v>Error</v>
      </c>
      <c r="K53" s="25">
        <f t="shared" si="1"/>
        <v>0</v>
      </c>
      <c r="L53" s="60">
        <v>45181.0</v>
      </c>
      <c r="M53" s="25">
        <v>24.0</v>
      </c>
      <c r="N53" s="23" t="str">
        <f t="shared" si="2"/>
        <v>CADUCADA</v>
      </c>
      <c r="O53" s="62">
        <f t="shared" si="3"/>
        <v>0</v>
      </c>
      <c r="P53" s="61"/>
    </row>
    <row r="54">
      <c r="A54" s="59" t="s">
        <v>435</v>
      </c>
      <c r="B54" s="25" t="s">
        <v>339</v>
      </c>
      <c r="C54" s="59" t="s">
        <v>374</v>
      </c>
      <c r="D54" s="59" t="s">
        <v>436</v>
      </c>
      <c r="E54" s="25" t="s">
        <v>330</v>
      </c>
      <c r="F54" s="25" t="s">
        <v>331</v>
      </c>
      <c r="G54" s="25" t="s">
        <v>389</v>
      </c>
      <c r="H54" s="61"/>
      <c r="I54" s="23" t="str">
        <f>IF(SOL_LICITUDS_PRESTEC!G54&gt;=TODAY(),SOL_LICITUDS_PRESTEC!G54,"Error")
</f>
        <v>Error</v>
      </c>
      <c r="J54" s="25" t="str">
        <f>IF(SOL_LICITUDS_PRESTEC!H42&gt;G54,SOL_LICITUDS_PRESTEC!H54,"Error")</f>
        <v>Error</v>
      </c>
      <c r="K54" s="25">
        <f t="shared" si="1"/>
        <v>0</v>
      </c>
      <c r="L54" s="60">
        <v>45238.0</v>
      </c>
      <c r="M54" s="25">
        <v>24.0</v>
      </c>
      <c r="N54" s="23" t="str">
        <f t="shared" si="2"/>
        <v>CADUCADA</v>
      </c>
      <c r="O54" s="62">
        <f t="shared" si="3"/>
        <v>0</v>
      </c>
      <c r="P54" s="61"/>
    </row>
    <row r="55">
      <c r="A55" s="59" t="s">
        <v>437</v>
      </c>
      <c r="B55" s="25" t="s">
        <v>339</v>
      </c>
      <c r="C55" s="59" t="s">
        <v>108</v>
      </c>
      <c r="D55" s="59" t="s">
        <v>438</v>
      </c>
      <c r="E55" s="25" t="s">
        <v>330</v>
      </c>
      <c r="F55" s="25" t="s">
        <v>331</v>
      </c>
      <c r="G55" s="25" t="s">
        <v>389</v>
      </c>
      <c r="H55" s="61"/>
      <c r="I55" s="23" t="str">
        <f>IF(SOL_LICITUDS_PRESTEC!G55&gt;=TODAY(),SOL_LICITUDS_PRESTEC!G55,"Error")
</f>
        <v>Error</v>
      </c>
      <c r="J55" s="25" t="str">
        <f>IF(SOL_LICITUDS_PRESTEC!H43&gt;G55,SOL_LICITUDS_PRESTEC!H55,"Error")</f>
        <v>Error</v>
      </c>
      <c r="K55" s="25">
        <f t="shared" si="1"/>
        <v>0</v>
      </c>
      <c r="L55" s="60">
        <v>45102.0</v>
      </c>
      <c r="M55" s="25">
        <v>12.0</v>
      </c>
      <c r="N55" s="23" t="str">
        <f t="shared" si="2"/>
        <v>CADUCADA</v>
      </c>
      <c r="O55" s="62">
        <f t="shared" si="3"/>
        <v>0</v>
      </c>
      <c r="P55" s="61"/>
    </row>
    <row r="56">
      <c r="A56" s="59" t="s">
        <v>439</v>
      </c>
      <c r="B56" s="25" t="s">
        <v>312</v>
      </c>
      <c r="C56" s="59" t="s">
        <v>340</v>
      </c>
      <c r="D56" s="59" t="s">
        <v>440</v>
      </c>
      <c r="E56" s="25" t="s">
        <v>441</v>
      </c>
      <c r="F56" s="25" t="s">
        <v>348</v>
      </c>
      <c r="G56" s="25" t="s">
        <v>349</v>
      </c>
      <c r="H56" s="61"/>
      <c r="I56" s="23" t="str">
        <f>IF(SOL_LICITUDS_PRESTEC!G56&gt;=TODAY(),SOL_LICITUDS_PRESTEC!G56,"Error")
</f>
        <v>Error</v>
      </c>
      <c r="J56" s="25" t="str">
        <f>IF(SOL_LICITUDS_PRESTEC!H44&gt;G56,SOL_LICITUDS_PRESTEC!H56,"Error")</f>
        <v>Error</v>
      </c>
      <c r="K56" s="25">
        <f t="shared" si="1"/>
        <v>0</v>
      </c>
      <c r="L56" s="60">
        <v>45275.0</v>
      </c>
      <c r="M56" s="25">
        <v>12.0</v>
      </c>
      <c r="N56" s="23" t="str">
        <f t="shared" si="2"/>
        <v>CADUCADA</v>
      </c>
      <c r="O56" s="62">
        <f t="shared" si="3"/>
        <v>0</v>
      </c>
      <c r="P56" s="61"/>
    </row>
    <row r="57">
      <c r="A57" s="59" t="s">
        <v>442</v>
      </c>
      <c r="B57" s="25" t="s">
        <v>313</v>
      </c>
      <c r="C57" s="59" t="s">
        <v>443</v>
      </c>
      <c r="D57" s="59" t="s">
        <v>444</v>
      </c>
      <c r="E57" s="25" t="s">
        <v>441</v>
      </c>
      <c r="F57" s="25" t="s">
        <v>348</v>
      </c>
      <c r="G57" s="25" t="s">
        <v>349</v>
      </c>
      <c r="H57" s="61"/>
      <c r="I57" s="23" t="str">
        <f>IF(SOL_LICITUDS_PRESTEC!G57&gt;=TODAY(),SOL_LICITUDS_PRESTEC!G57,"Error")
</f>
        <v>Error</v>
      </c>
      <c r="J57" s="25" t="str">
        <f>IF(SOL_LICITUDS_PRESTEC!H45&gt;G57,SOL_LICITUDS_PRESTEC!H57,"Error")</f>
        <v>Error</v>
      </c>
      <c r="K57" s="25">
        <f t="shared" si="1"/>
        <v>0</v>
      </c>
      <c r="L57" s="60">
        <v>45275.0</v>
      </c>
      <c r="M57" s="25">
        <v>24.0</v>
      </c>
      <c r="N57" s="23" t="str">
        <f t="shared" si="2"/>
        <v>VIGENT</v>
      </c>
      <c r="O57" s="62">
        <f t="shared" si="3"/>
        <v>0</v>
      </c>
      <c r="P57" s="61"/>
    </row>
    <row r="58">
      <c r="A58" s="59" t="s">
        <v>445</v>
      </c>
      <c r="B58" s="25" t="s">
        <v>58</v>
      </c>
      <c r="C58" s="59" t="s">
        <v>340</v>
      </c>
      <c r="D58" s="59" t="s">
        <v>341</v>
      </c>
      <c r="E58" s="25" t="s">
        <v>441</v>
      </c>
      <c r="F58" s="25" t="s">
        <v>348</v>
      </c>
      <c r="G58" s="25" t="s">
        <v>349</v>
      </c>
      <c r="H58" s="61"/>
      <c r="I58" s="23" t="str">
        <f>IF(SOL_LICITUDS_PRESTEC!G58&gt;=TODAY(),SOL_LICITUDS_PRESTEC!G58,"Error")
</f>
        <v>Error</v>
      </c>
      <c r="J58" s="25" t="str">
        <f>IF(SOL_LICITUDS_PRESTEC!H46&gt;G58,SOL_LICITUDS_PRESTEC!H58,"Error")</f>
        <v>Error</v>
      </c>
      <c r="K58" s="25">
        <f t="shared" si="1"/>
        <v>0</v>
      </c>
      <c r="L58" s="60">
        <v>45275.0</v>
      </c>
      <c r="M58" s="25">
        <v>24.0</v>
      </c>
      <c r="N58" s="23" t="str">
        <f t="shared" si="2"/>
        <v>VIGENT</v>
      </c>
      <c r="O58" s="62">
        <f t="shared" si="3"/>
        <v>0</v>
      </c>
      <c r="P58" s="61"/>
    </row>
    <row r="59">
      <c r="A59" s="59" t="s">
        <v>446</v>
      </c>
      <c r="B59" s="25" t="s">
        <v>314</v>
      </c>
      <c r="C59" s="59" t="s">
        <v>340</v>
      </c>
      <c r="D59" s="59" t="s">
        <v>447</v>
      </c>
      <c r="E59" s="25" t="s">
        <v>441</v>
      </c>
      <c r="F59" s="25" t="s">
        <v>348</v>
      </c>
      <c r="G59" s="25" t="s">
        <v>349</v>
      </c>
      <c r="H59" s="61"/>
      <c r="I59" s="23" t="str">
        <f>IF(SOL_LICITUDS_PRESTEC!G59&gt;=TODAY(),SOL_LICITUDS_PRESTEC!G59,"Error")
</f>
        <v>Error</v>
      </c>
      <c r="J59" s="25" t="str">
        <f>IF(SOL_LICITUDS_PRESTEC!H47&gt;G59,SOL_LICITUDS_PRESTEC!H59,"Error")</f>
        <v>Error</v>
      </c>
      <c r="K59" s="25">
        <f t="shared" si="1"/>
        <v>0</v>
      </c>
      <c r="L59" s="60">
        <v>45275.0</v>
      </c>
      <c r="M59" s="25">
        <v>24.0</v>
      </c>
      <c r="N59" s="23" t="str">
        <f t="shared" si="2"/>
        <v>VIGENT</v>
      </c>
      <c r="O59" s="62">
        <f t="shared" si="3"/>
        <v>0</v>
      </c>
      <c r="P59" s="61"/>
    </row>
    <row r="60">
      <c r="A60" s="59" t="s">
        <v>155</v>
      </c>
      <c r="B60" s="25" t="s">
        <v>312</v>
      </c>
      <c r="C60" s="59" t="s">
        <v>45</v>
      </c>
      <c r="D60" s="59" t="s">
        <v>357</v>
      </c>
      <c r="E60" s="25" t="s">
        <v>441</v>
      </c>
      <c r="F60" s="25" t="s">
        <v>331</v>
      </c>
      <c r="G60" s="25" t="s">
        <v>389</v>
      </c>
      <c r="H60" s="61"/>
      <c r="I60" s="23" t="str">
        <f>IF(SOL_LICITUDS_PRESTEC!G60&gt;=TODAY(),SOL_LICITUDS_PRESTEC!G60,"Error")
</f>
        <v>Error</v>
      </c>
      <c r="J60" s="25" t="str">
        <f>IF(SOL_LICITUDS_PRESTEC!H48&gt;G60,SOL_LICITUDS_PRESTEC!H60,"Error")</f>
        <v>Error</v>
      </c>
      <c r="K60" s="25">
        <f t="shared" si="1"/>
        <v>0</v>
      </c>
      <c r="L60" s="60">
        <v>44941.0</v>
      </c>
      <c r="M60" s="25">
        <v>36.0</v>
      </c>
      <c r="N60" s="23" t="str">
        <f t="shared" si="2"/>
        <v>VIGENT</v>
      </c>
      <c r="O60" s="62">
        <f t="shared" si="3"/>
        <v>0</v>
      </c>
      <c r="P60" s="62"/>
    </row>
    <row r="61">
      <c r="A61" s="59" t="s">
        <v>448</v>
      </c>
      <c r="B61" s="25" t="s">
        <v>313</v>
      </c>
      <c r="C61" s="59" t="s">
        <v>45</v>
      </c>
      <c r="D61" s="59" t="s">
        <v>360</v>
      </c>
      <c r="E61" s="25" t="s">
        <v>441</v>
      </c>
      <c r="F61" s="25" t="s">
        <v>331</v>
      </c>
      <c r="G61" s="25" t="s">
        <v>389</v>
      </c>
      <c r="H61" s="62"/>
      <c r="I61" s="23" t="str">
        <f>IF(SOL_LICITUDS_PRESTEC!G61&gt;=TODAY(),SOL_LICITUDS_PRESTEC!G61,"Error")
</f>
        <v>Error</v>
      </c>
      <c r="J61" s="25" t="str">
        <f>IF(SOL_LICITUDS_PRESTEC!H49&gt;G61,SOL_LICITUDS_PRESTEC!H61,"Error")</f>
        <v>Error</v>
      </c>
      <c r="K61" s="25">
        <f t="shared" si="1"/>
        <v>0</v>
      </c>
      <c r="L61" s="60">
        <v>44941.0</v>
      </c>
      <c r="M61" s="25">
        <v>24.0</v>
      </c>
      <c r="N61" s="23" t="str">
        <f t="shared" si="2"/>
        <v>CADUCADA</v>
      </c>
      <c r="O61" s="62">
        <f t="shared" si="3"/>
        <v>0</v>
      </c>
      <c r="P61" s="62"/>
    </row>
    <row r="62">
      <c r="A62" s="59" t="s">
        <v>449</v>
      </c>
      <c r="B62" s="25" t="s">
        <v>58</v>
      </c>
      <c r="C62" s="59" t="s">
        <v>374</v>
      </c>
      <c r="D62" s="59" t="s">
        <v>375</v>
      </c>
      <c r="E62" s="25" t="s">
        <v>441</v>
      </c>
      <c r="F62" s="25" t="s">
        <v>331</v>
      </c>
      <c r="G62" s="25" t="s">
        <v>389</v>
      </c>
      <c r="H62" s="61"/>
      <c r="I62" s="23" t="str">
        <f>IF(SOL_LICITUDS_PRESTEC!G62&gt;=TODAY(),SOL_LICITUDS_PRESTEC!G62,"Error")
</f>
        <v>Error</v>
      </c>
      <c r="J62" s="25" t="str">
        <f>IF(SOL_LICITUDS_PRESTEC!H50&gt;G62,SOL_LICITUDS_PRESTEC!H62,"Error")</f>
        <v>Error</v>
      </c>
      <c r="K62" s="25">
        <f t="shared" si="1"/>
        <v>0</v>
      </c>
      <c r="L62" s="60">
        <v>44941.0</v>
      </c>
      <c r="M62" s="25">
        <v>12.0</v>
      </c>
      <c r="N62" s="23" t="str">
        <f t="shared" si="2"/>
        <v>CADUCADA</v>
      </c>
      <c r="O62" s="62">
        <f t="shared" si="3"/>
        <v>0</v>
      </c>
      <c r="P62" s="61"/>
    </row>
    <row r="63">
      <c r="A63" s="59" t="s">
        <v>450</v>
      </c>
      <c r="B63" s="25" t="s">
        <v>314</v>
      </c>
      <c r="C63" s="59" t="s">
        <v>374</v>
      </c>
      <c r="D63" s="59" t="s">
        <v>377</v>
      </c>
      <c r="E63" s="25" t="s">
        <v>441</v>
      </c>
      <c r="F63" s="25" t="s">
        <v>348</v>
      </c>
      <c r="G63" s="25" t="s">
        <v>354</v>
      </c>
      <c r="H63" s="61"/>
      <c r="I63" s="23" t="str">
        <f>IF(SOL_LICITUDS_PRESTEC!G63&gt;=TODAY(),SOL_LICITUDS_PRESTEC!G63,"Error")
</f>
        <v>Error</v>
      </c>
      <c r="J63" s="25" t="str">
        <f>IF(SOL_LICITUDS_PRESTEC!H51&gt;G63,SOL_LICITUDS_PRESTEC!H63,"Error")</f>
        <v>Error</v>
      </c>
      <c r="K63" s="25">
        <f t="shared" si="1"/>
        <v>0</v>
      </c>
      <c r="L63" s="60">
        <v>44941.0</v>
      </c>
      <c r="M63" s="25">
        <v>12.0</v>
      </c>
      <c r="N63" s="23" t="str">
        <f t="shared" si="2"/>
        <v>CADUCADA</v>
      </c>
      <c r="O63" s="62">
        <f t="shared" si="3"/>
        <v>0</v>
      </c>
      <c r="P63" s="59" t="s">
        <v>451</v>
      </c>
    </row>
    <row r="64">
      <c r="A64" s="59" t="s">
        <v>452</v>
      </c>
      <c r="B64" s="25" t="s">
        <v>13</v>
      </c>
      <c r="C64" s="59" t="s">
        <v>73</v>
      </c>
      <c r="D64" s="59" t="s">
        <v>334</v>
      </c>
      <c r="E64" s="25" t="s">
        <v>330</v>
      </c>
      <c r="F64" s="25" t="s">
        <v>331</v>
      </c>
      <c r="G64" s="25" t="s">
        <v>237</v>
      </c>
      <c r="H64" s="59" t="s">
        <v>453</v>
      </c>
      <c r="I64" s="23" t="str">
        <f>IF(SOL_LICITUDS_PRESTEC!G64&gt;=TODAY(),SOL_LICITUDS_PRESTEC!G64,"Error")
</f>
        <v>Error</v>
      </c>
      <c r="J64" s="25" t="str">
        <f>IF(SOL_LICITUDS_PRESTEC!H52&gt;G64,SOL_LICITUDS_PRESTEC!H64,"Error")</f>
        <v>Error</v>
      </c>
      <c r="K64" s="25">
        <f t="shared" si="1"/>
        <v>0</v>
      </c>
      <c r="L64" s="60">
        <v>44946.0</v>
      </c>
      <c r="M64" s="25">
        <v>36.0</v>
      </c>
      <c r="N64" s="23" t="str">
        <f t="shared" si="2"/>
        <v>VIGENT</v>
      </c>
      <c r="O64" s="62">
        <f t="shared" si="3"/>
        <v>0</v>
      </c>
      <c r="P64" s="59" t="s">
        <v>454</v>
      </c>
    </row>
    <row r="65">
      <c r="A65" s="59" t="s">
        <v>143</v>
      </c>
      <c r="B65" s="25" t="s">
        <v>19</v>
      </c>
      <c r="C65" s="59" t="s">
        <v>62</v>
      </c>
      <c r="D65" s="59" t="s">
        <v>455</v>
      </c>
      <c r="E65" s="25" t="s">
        <v>330</v>
      </c>
      <c r="F65" s="25" t="s">
        <v>331</v>
      </c>
      <c r="G65" s="25" t="s">
        <v>389</v>
      </c>
      <c r="H65" s="61"/>
      <c r="I65" s="23" t="str">
        <f>IF(SOL_LICITUDS_PRESTEC!G65&gt;=TODAY(),SOL_LICITUDS_PRESTEC!G65,"Error")
</f>
        <v>Error</v>
      </c>
      <c r="J65" s="25" t="str">
        <f>IF(SOL_LICITUDS_PRESTEC!H53&gt;G65,SOL_LICITUDS_PRESTEC!H65,"Error")</f>
        <v>Error</v>
      </c>
      <c r="K65" s="25">
        <f t="shared" si="1"/>
        <v>0</v>
      </c>
      <c r="L65" s="60">
        <v>45010.0</v>
      </c>
      <c r="M65" s="25">
        <v>24.0</v>
      </c>
      <c r="N65" s="23" t="str">
        <f t="shared" si="2"/>
        <v>CADUCADA</v>
      </c>
      <c r="O65" s="62">
        <f t="shared" si="3"/>
        <v>0</v>
      </c>
      <c r="P65" s="61"/>
    </row>
    <row r="66">
      <c r="A66" s="59" t="s">
        <v>132</v>
      </c>
      <c r="B66" s="25" t="s">
        <v>24</v>
      </c>
      <c r="C66" s="59" t="s">
        <v>420</v>
      </c>
      <c r="D66" s="59" t="s">
        <v>25</v>
      </c>
      <c r="E66" s="25" t="s">
        <v>330</v>
      </c>
      <c r="F66" s="25" t="s">
        <v>331</v>
      </c>
      <c r="G66" s="25" t="s">
        <v>389</v>
      </c>
      <c r="H66" s="61"/>
      <c r="I66" s="23" t="str">
        <f>IF(SOL_LICITUDS_PRESTEC!G66&gt;=TODAY(),SOL_LICITUDS_PRESTEC!G66,"Error")
</f>
        <v>Error</v>
      </c>
      <c r="J66" s="25" t="str">
        <f>IF(SOL_LICITUDS_PRESTEC!H54&gt;G66,SOL_LICITUDS_PRESTEC!H66,"Error")</f>
        <v>Error</v>
      </c>
      <c r="K66" s="25">
        <f t="shared" si="1"/>
        <v>0</v>
      </c>
      <c r="L66" s="60">
        <v>44944.0</v>
      </c>
      <c r="M66" s="25">
        <v>24.0</v>
      </c>
      <c r="N66" s="23" t="str">
        <f t="shared" si="2"/>
        <v>CADUCADA</v>
      </c>
      <c r="O66" s="62">
        <f t="shared" si="3"/>
        <v>0</v>
      </c>
      <c r="P66" s="62"/>
    </row>
    <row r="67">
      <c r="A67" s="59" t="s">
        <v>456</v>
      </c>
      <c r="B67" s="25" t="s">
        <v>339</v>
      </c>
      <c r="C67" s="59" t="s">
        <v>374</v>
      </c>
      <c r="D67" s="59" t="s">
        <v>457</v>
      </c>
      <c r="E67" s="25" t="s">
        <v>330</v>
      </c>
      <c r="F67" s="25" t="s">
        <v>331</v>
      </c>
      <c r="G67" s="25" t="s">
        <v>389</v>
      </c>
      <c r="H67" s="61"/>
      <c r="I67" s="23" t="str">
        <f>IF(SOL_LICITUDS_PRESTEC!G67&gt;=TODAY(),SOL_LICITUDS_PRESTEC!G67,"Error")
</f>
        <v>Error</v>
      </c>
      <c r="J67" s="25" t="str">
        <f>IF(SOL_LICITUDS_PRESTEC!H55&gt;G67,SOL_LICITUDS_PRESTEC!H67,"Error")</f>
        <v>Error</v>
      </c>
      <c r="K67" s="25">
        <f t="shared" si="1"/>
        <v>0</v>
      </c>
      <c r="L67" s="60">
        <v>45000.0</v>
      </c>
      <c r="M67" s="25">
        <v>12.0</v>
      </c>
      <c r="N67" s="23" t="str">
        <f t="shared" si="2"/>
        <v>CADUCADA</v>
      </c>
      <c r="O67" s="62">
        <f t="shared" si="3"/>
        <v>0</v>
      </c>
      <c r="P67" s="62"/>
    </row>
    <row r="68">
      <c r="A68" s="59" t="s">
        <v>458</v>
      </c>
      <c r="B68" s="25" t="s">
        <v>312</v>
      </c>
      <c r="C68" s="59" t="s">
        <v>73</v>
      </c>
      <c r="D68" s="59" t="s">
        <v>459</v>
      </c>
      <c r="E68" s="25" t="s">
        <v>387</v>
      </c>
      <c r="F68" s="25" t="s">
        <v>331</v>
      </c>
      <c r="G68" s="25" t="s">
        <v>389</v>
      </c>
      <c r="H68" s="61"/>
      <c r="I68" s="23" t="str">
        <f>IF(SOL_LICITUDS_PRESTEC!G68&gt;=TODAY(),SOL_LICITUDS_PRESTEC!G68,"Error")
</f>
        <v>Error</v>
      </c>
      <c r="J68" s="25" t="str">
        <f>IF(SOL_LICITUDS_PRESTEC!H56&gt;G68,SOL_LICITUDS_PRESTEC!H68,"Error")</f>
        <v>Error</v>
      </c>
      <c r="K68" s="25">
        <f t="shared" si="1"/>
        <v>0</v>
      </c>
      <c r="L68" s="60">
        <v>44995.0</v>
      </c>
      <c r="M68" s="25">
        <v>36.0</v>
      </c>
      <c r="N68" s="23" t="str">
        <f t="shared" si="2"/>
        <v>VIGENT</v>
      </c>
      <c r="O68" s="62">
        <f t="shared" si="3"/>
        <v>0</v>
      </c>
      <c r="P68" s="61"/>
    </row>
    <row r="69">
      <c r="A69" s="59" t="s">
        <v>460</v>
      </c>
      <c r="B69" s="25" t="s">
        <v>313</v>
      </c>
      <c r="C69" s="59" t="s">
        <v>443</v>
      </c>
      <c r="D69" s="59" t="s">
        <v>461</v>
      </c>
      <c r="E69" s="25" t="s">
        <v>387</v>
      </c>
      <c r="F69" s="25" t="s">
        <v>331</v>
      </c>
      <c r="G69" s="25" t="s">
        <v>389</v>
      </c>
      <c r="H69" s="61"/>
      <c r="I69" s="23" t="str">
        <f>IF(SOL_LICITUDS_PRESTEC!G69&gt;=TODAY(),SOL_LICITUDS_PRESTEC!G69,"Error")
</f>
        <v>Error</v>
      </c>
      <c r="J69" s="25" t="str">
        <f>IF(SOL_LICITUDS_PRESTEC!H57&gt;G69,SOL_LICITUDS_PRESTEC!H69,"Error")</f>
        <v>Error</v>
      </c>
      <c r="K69" s="25">
        <f t="shared" si="1"/>
        <v>0</v>
      </c>
      <c r="L69" s="60">
        <v>44995.0</v>
      </c>
      <c r="M69" s="25">
        <v>24.0</v>
      </c>
      <c r="N69" s="23" t="str">
        <f t="shared" si="2"/>
        <v>CADUCADA</v>
      </c>
      <c r="O69" s="62">
        <f t="shared" si="3"/>
        <v>0</v>
      </c>
      <c r="P69" s="59" t="s">
        <v>462</v>
      </c>
    </row>
    <row r="70">
      <c r="A70" s="59" t="s">
        <v>463</v>
      </c>
      <c r="B70" s="25" t="s">
        <v>313</v>
      </c>
      <c r="C70" s="59" t="s">
        <v>443</v>
      </c>
      <c r="D70" s="59" t="s">
        <v>464</v>
      </c>
      <c r="E70" s="25" t="s">
        <v>387</v>
      </c>
      <c r="F70" s="25" t="s">
        <v>331</v>
      </c>
      <c r="G70" s="25" t="s">
        <v>389</v>
      </c>
      <c r="H70" s="61"/>
      <c r="I70" s="23" t="str">
        <f>IF(SOL_LICITUDS_PRESTEC!G70&gt;=TODAY(),SOL_LICITUDS_PRESTEC!G70,"Error")
</f>
        <v>Error</v>
      </c>
      <c r="J70" s="25" t="str">
        <f>IF(SOL_LICITUDS_PRESTEC!H58&gt;G70,SOL_LICITUDS_PRESTEC!H70,"Error")</f>
        <v>Error</v>
      </c>
      <c r="K70" s="25">
        <f t="shared" si="1"/>
        <v>0</v>
      </c>
      <c r="L70" s="60">
        <v>44995.0</v>
      </c>
      <c r="M70" s="25">
        <v>24.0</v>
      </c>
      <c r="N70" s="23" t="str">
        <f t="shared" si="2"/>
        <v>CADUCADA</v>
      </c>
      <c r="O70" s="62">
        <f t="shared" si="3"/>
        <v>0</v>
      </c>
      <c r="P70" s="59" t="s">
        <v>465</v>
      </c>
    </row>
    <row r="71">
      <c r="A71" s="59" t="s">
        <v>466</v>
      </c>
      <c r="B71" s="25" t="s">
        <v>58</v>
      </c>
      <c r="C71" s="59" t="s">
        <v>374</v>
      </c>
      <c r="D71" s="63" t="s">
        <v>467</v>
      </c>
      <c r="E71" s="25" t="s">
        <v>468</v>
      </c>
      <c r="F71" s="25" t="s">
        <v>331</v>
      </c>
      <c r="G71" s="25" t="s">
        <v>389</v>
      </c>
      <c r="H71" s="61"/>
      <c r="I71" s="23" t="str">
        <f>IF(SOL_LICITUDS_PRESTEC!G71&gt;=TODAY(),SOL_LICITUDS_PRESTEC!G71,"Error")
</f>
        <v>Error</v>
      </c>
      <c r="J71" s="25" t="str">
        <f>IF(SOL_LICITUDS_PRESTEC!H59&gt;G71,SOL_LICITUDS_PRESTEC!H71,"Error")</f>
        <v>Error</v>
      </c>
      <c r="K71" s="25">
        <f t="shared" si="1"/>
        <v>0</v>
      </c>
      <c r="L71" s="60">
        <v>44995.0</v>
      </c>
      <c r="M71" s="25">
        <v>24.0</v>
      </c>
      <c r="N71" s="23" t="str">
        <f t="shared" si="2"/>
        <v>CADUCADA</v>
      </c>
      <c r="O71" s="62">
        <f t="shared" si="3"/>
        <v>0</v>
      </c>
      <c r="P71" s="61"/>
    </row>
    <row r="72">
      <c r="A72" s="59" t="s">
        <v>469</v>
      </c>
      <c r="B72" s="25" t="s">
        <v>314</v>
      </c>
      <c r="C72" s="59" t="s">
        <v>374</v>
      </c>
      <c r="D72" s="59" t="s">
        <v>470</v>
      </c>
      <c r="E72" s="25" t="s">
        <v>468</v>
      </c>
      <c r="F72" s="25" t="s">
        <v>331</v>
      </c>
      <c r="G72" s="25" t="s">
        <v>389</v>
      </c>
      <c r="H72" s="61"/>
      <c r="I72" s="23" t="str">
        <f>IF(SOL_LICITUDS_PRESTEC!G72&gt;=TODAY(),SOL_LICITUDS_PRESTEC!G72,"Error")
</f>
        <v>Error</v>
      </c>
      <c r="J72" s="25" t="str">
        <f>IF(SOL_LICITUDS_PRESTEC!H60&gt;G72,SOL_LICITUDS_PRESTEC!H72,"Error")</f>
        <v>Error</v>
      </c>
      <c r="K72" s="25">
        <f t="shared" si="1"/>
        <v>0</v>
      </c>
      <c r="L72" s="60">
        <v>44995.0</v>
      </c>
      <c r="M72" s="25">
        <v>24.0</v>
      </c>
      <c r="N72" s="23" t="str">
        <f t="shared" si="2"/>
        <v>CADUCADA</v>
      </c>
      <c r="O72" s="62">
        <f t="shared" si="3"/>
        <v>0</v>
      </c>
      <c r="P72" s="61"/>
    </row>
    <row r="73">
      <c r="A73" s="59" t="s">
        <v>471</v>
      </c>
      <c r="B73" s="25" t="s">
        <v>312</v>
      </c>
      <c r="C73" s="59" t="s">
        <v>73</v>
      </c>
      <c r="D73" s="59" t="s">
        <v>459</v>
      </c>
      <c r="E73" s="25" t="s">
        <v>382</v>
      </c>
      <c r="F73" s="25" t="s">
        <v>331</v>
      </c>
      <c r="G73" s="25" t="s">
        <v>389</v>
      </c>
      <c r="H73" s="61"/>
      <c r="I73" s="23" t="str">
        <f>IF(SOL_LICITUDS_PRESTEC!G73&gt;=TODAY(),SOL_LICITUDS_PRESTEC!G73,"Error")
</f>
        <v>Error</v>
      </c>
      <c r="J73" s="25" t="str">
        <f>IF(SOL_LICITUDS_PRESTEC!H61&gt;G73,SOL_LICITUDS_PRESTEC!H73,"Error")</f>
        <v>Error</v>
      </c>
      <c r="K73" s="25">
        <f t="shared" si="1"/>
        <v>0</v>
      </c>
      <c r="L73" s="60">
        <v>44997.0</v>
      </c>
      <c r="M73" s="25">
        <v>36.0</v>
      </c>
      <c r="N73" s="23" t="str">
        <f t="shared" si="2"/>
        <v>VIGENT</v>
      </c>
      <c r="O73" s="62">
        <f t="shared" si="3"/>
        <v>0</v>
      </c>
      <c r="P73" s="61"/>
    </row>
    <row r="74">
      <c r="A74" s="59" t="s">
        <v>472</v>
      </c>
      <c r="B74" s="25" t="s">
        <v>313</v>
      </c>
      <c r="C74" s="59" t="s">
        <v>443</v>
      </c>
      <c r="D74" s="59" t="s">
        <v>461</v>
      </c>
      <c r="E74" s="25" t="s">
        <v>382</v>
      </c>
      <c r="F74" s="25" t="s">
        <v>331</v>
      </c>
      <c r="G74" s="25" t="s">
        <v>389</v>
      </c>
      <c r="H74" s="61"/>
      <c r="I74" s="23" t="str">
        <f>IF(SOL_LICITUDS_PRESTEC!G74&gt;=TODAY(),SOL_LICITUDS_PRESTEC!G74,"Error")
</f>
        <v>Error</v>
      </c>
      <c r="J74" s="25" t="str">
        <f>IF(SOL_LICITUDS_PRESTEC!H62&gt;G74,SOL_LICITUDS_PRESTEC!H74,"Error")</f>
        <v>Error</v>
      </c>
      <c r="K74" s="25">
        <f t="shared" si="1"/>
        <v>0</v>
      </c>
      <c r="L74" s="60">
        <v>44997.0</v>
      </c>
      <c r="M74" s="25">
        <v>24.0</v>
      </c>
      <c r="N74" s="23" t="str">
        <f t="shared" si="2"/>
        <v>CADUCADA</v>
      </c>
      <c r="O74" s="62">
        <f t="shared" si="3"/>
        <v>0</v>
      </c>
      <c r="P74" s="59" t="s">
        <v>473</v>
      </c>
    </row>
    <row r="75">
      <c r="A75" s="59" t="s">
        <v>185</v>
      </c>
      <c r="B75" s="25" t="s">
        <v>313</v>
      </c>
      <c r="C75" s="59" t="s">
        <v>443</v>
      </c>
      <c r="D75" s="59" t="s">
        <v>474</v>
      </c>
      <c r="E75" s="25" t="s">
        <v>382</v>
      </c>
      <c r="F75" s="25" t="s">
        <v>348</v>
      </c>
      <c r="G75" s="25" t="s">
        <v>349</v>
      </c>
      <c r="H75" s="61"/>
      <c r="I75" s="23" t="str">
        <f>IF(SOL_LICITUDS_PRESTEC!G75&gt;=TODAY(),SOL_LICITUDS_PRESTEC!G75,"Error")
</f>
        <v>Error</v>
      </c>
      <c r="J75" s="25" t="str">
        <f>IF(SOL_LICITUDS_PRESTEC!H63&gt;G75,SOL_LICITUDS_PRESTEC!H75,"Error")</f>
        <v>Error</v>
      </c>
      <c r="K75" s="25">
        <f t="shared" si="1"/>
        <v>0</v>
      </c>
      <c r="L75" s="60">
        <v>44997.0</v>
      </c>
      <c r="M75" s="25">
        <v>24.0</v>
      </c>
      <c r="N75" s="23" t="str">
        <f t="shared" si="2"/>
        <v>CADUCADA</v>
      </c>
      <c r="O75" s="62">
        <f t="shared" si="3"/>
        <v>0</v>
      </c>
      <c r="P75" s="59" t="s">
        <v>475</v>
      </c>
    </row>
    <row r="76">
      <c r="A76" s="59" t="s">
        <v>476</v>
      </c>
      <c r="B76" s="25" t="s">
        <v>58</v>
      </c>
      <c r="C76" s="59" t="s">
        <v>477</v>
      </c>
      <c r="D76" s="59" t="s">
        <v>478</v>
      </c>
      <c r="E76" s="25" t="s">
        <v>382</v>
      </c>
      <c r="F76" s="25" t="s">
        <v>331</v>
      </c>
      <c r="G76" s="25" t="s">
        <v>389</v>
      </c>
      <c r="H76" s="61"/>
      <c r="I76" s="23" t="str">
        <f>IF(SOL_LICITUDS_PRESTEC!G76&gt;=TODAY(),SOL_LICITUDS_PRESTEC!G76,"Error")
</f>
        <v>Error</v>
      </c>
      <c r="J76" s="25" t="str">
        <f>IF(SOL_LICITUDS_PRESTEC!H64&gt;G76,SOL_LICITUDS_PRESTEC!H76,"Error")</f>
        <v>Error</v>
      </c>
      <c r="K76" s="25">
        <f t="shared" si="1"/>
        <v>0</v>
      </c>
      <c r="L76" s="60">
        <v>44997.0</v>
      </c>
      <c r="M76" s="25">
        <v>24.0</v>
      </c>
      <c r="N76" s="23" t="str">
        <f t="shared" si="2"/>
        <v>CADUCADA</v>
      </c>
      <c r="O76" s="62">
        <f t="shared" si="3"/>
        <v>0</v>
      </c>
      <c r="P76" s="61"/>
    </row>
    <row r="77">
      <c r="A77" s="59" t="s">
        <v>479</v>
      </c>
      <c r="B77" s="25" t="s">
        <v>314</v>
      </c>
      <c r="C77" s="59" t="s">
        <v>374</v>
      </c>
      <c r="D77" s="59" t="s">
        <v>470</v>
      </c>
      <c r="E77" s="25" t="s">
        <v>382</v>
      </c>
      <c r="F77" s="25" t="s">
        <v>331</v>
      </c>
      <c r="G77" s="25" t="s">
        <v>389</v>
      </c>
      <c r="H77" s="61"/>
      <c r="I77" s="23" t="str">
        <f>IF(SOL_LICITUDS_PRESTEC!G77&gt;=TODAY(),SOL_LICITUDS_PRESTEC!G77,"Error")
</f>
        <v>Error</v>
      </c>
      <c r="J77" s="25" t="str">
        <f>IF(SOL_LICITUDS_PRESTEC!H65&gt;G77,SOL_LICITUDS_PRESTEC!H77,"Error")</f>
        <v>Error</v>
      </c>
      <c r="K77" s="25">
        <f t="shared" si="1"/>
        <v>0</v>
      </c>
      <c r="L77" s="60">
        <v>44997.0</v>
      </c>
      <c r="M77" s="25">
        <v>24.0</v>
      </c>
      <c r="N77" s="23" t="str">
        <f t="shared" si="2"/>
        <v>CADUCADA</v>
      </c>
      <c r="O77" s="62">
        <f t="shared" si="3"/>
        <v>0</v>
      </c>
      <c r="P77" s="62"/>
    </row>
    <row r="78">
      <c r="A78" s="59" t="s">
        <v>480</v>
      </c>
      <c r="B78" s="25" t="s">
        <v>313</v>
      </c>
      <c r="C78" s="64" t="s">
        <v>45</v>
      </c>
      <c r="D78" s="59" t="s">
        <v>481</v>
      </c>
      <c r="E78" s="25" t="s">
        <v>371</v>
      </c>
      <c r="F78" s="25" t="s">
        <v>331</v>
      </c>
      <c r="G78" s="25" t="s">
        <v>389</v>
      </c>
      <c r="H78" s="61"/>
      <c r="I78" s="23" t="str">
        <f>IF(SOL_LICITUDS_PRESTEC!G78&gt;=TODAY(),SOL_LICITUDS_PRESTEC!G78,"Error")
</f>
        <v>Error</v>
      </c>
      <c r="J78" s="25" t="str">
        <f>IF(SOL_LICITUDS_PRESTEC!H66&gt;G78,SOL_LICITUDS_PRESTEC!H78,"Error")</f>
        <v>Error</v>
      </c>
      <c r="K78" s="25">
        <f t="shared" si="1"/>
        <v>0</v>
      </c>
      <c r="L78" s="60">
        <v>45066.0</v>
      </c>
      <c r="M78" s="25">
        <v>24.0</v>
      </c>
      <c r="N78" s="23" t="str">
        <f t="shared" si="2"/>
        <v>CADUCADA</v>
      </c>
      <c r="O78" s="62">
        <f t="shared" si="3"/>
        <v>0</v>
      </c>
      <c r="P78" s="61"/>
    </row>
    <row r="79">
      <c r="A79" s="59" t="s">
        <v>482</v>
      </c>
      <c r="B79" s="25" t="s">
        <v>312</v>
      </c>
      <c r="C79" s="59" t="s">
        <v>45</v>
      </c>
      <c r="D79" s="59" t="s">
        <v>483</v>
      </c>
      <c r="E79" s="25" t="s">
        <v>484</v>
      </c>
      <c r="F79" s="25" t="s">
        <v>331</v>
      </c>
      <c r="G79" s="25" t="s">
        <v>389</v>
      </c>
      <c r="H79" s="61"/>
      <c r="I79" s="23" t="str">
        <f>IF(SOL_LICITUDS_PRESTEC!G79&gt;=TODAY(),SOL_LICITUDS_PRESTEC!G79,"Error")
</f>
        <v>Error</v>
      </c>
      <c r="J79" s="25" t="str">
        <f>IF(SOL_LICITUDS_PRESTEC!H67&gt;G79,SOL_LICITUDS_PRESTEC!H79,"Error")</f>
        <v>Error</v>
      </c>
      <c r="K79" s="25">
        <f t="shared" si="1"/>
        <v>0</v>
      </c>
      <c r="L79" s="65"/>
      <c r="M79" s="23"/>
      <c r="N79" s="23" t="str">
        <f t="shared" si="2"/>
        <v>CADUCADA</v>
      </c>
      <c r="O79" s="62">
        <f t="shared" si="3"/>
        <v>0</v>
      </c>
      <c r="P79" s="61"/>
    </row>
    <row r="80">
      <c r="A80" s="59" t="s">
        <v>485</v>
      </c>
      <c r="B80" s="25" t="s">
        <v>313</v>
      </c>
      <c r="C80" s="59" t="s">
        <v>49</v>
      </c>
      <c r="D80" s="59" t="s">
        <v>486</v>
      </c>
      <c r="E80" s="25" t="s">
        <v>484</v>
      </c>
      <c r="F80" s="25" t="s">
        <v>331</v>
      </c>
      <c r="G80" s="25" t="s">
        <v>389</v>
      </c>
      <c r="H80" s="61"/>
      <c r="I80" s="23" t="str">
        <f>IF(SOL_LICITUDS_PRESTEC!G80&gt;=TODAY(),SOL_LICITUDS_PRESTEC!G80,"Error")
</f>
        <v>Error</v>
      </c>
      <c r="J80" s="25" t="str">
        <f>IF(SOL_LICITUDS_PRESTEC!H68&gt;G80,SOL_LICITUDS_PRESTEC!H80,"Error")</f>
        <v>Error</v>
      </c>
      <c r="K80" s="25">
        <f t="shared" si="1"/>
        <v>0</v>
      </c>
      <c r="L80" s="60">
        <v>44951.0</v>
      </c>
      <c r="M80" s="25">
        <v>24.0</v>
      </c>
      <c r="N80" s="23" t="str">
        <f t="shared" si="2"/>
        <v>CADUCADA</v>
      </c>
      <c r="O80" s="62">
        <f t="shared" si="3"/>
        <v>0</v>
      </c>
      <c r="P80" s="62"/>
    </row>
    <row r="81">
      <c r="A81" s="59" t="s">
        <v>247</v>
      </c>
      <c r="B81" s="25" t="s">
        <v>13</v>
      </c>
      <c r="C81" s="59" t="s">
        <v>73</v>
      </c>
      <c r="D81" s="59" t="s">
        <v>487</v>
      </c>
      <c r="E81" s="25" t="s">
        <v>488</v>
      </c>
      <c r="F81" s="25" t="s">
        <v>348</v>
      </c>
      <c r="G81" s="25" t="s">
        <v>354</v>
      </c>
      <c r="H81" s="61"/>
      <c r="I81" s="23" t="str">
        <f>IF(SOL_LICITUDS_PRESTEC!G81&gt;=TODAY(),SOL_LICITUDS_PRESTEC!G81,"Error")
</f>
        <v>Error</v>
      </c>
      <c r="J81" s="25" t="str">
        <f>IF(SOL_LICITUDS_PRESTEC!H69&gt;G81,SOL_LICITUDS_PRESTEC!H81,"Error")</f>
        <v>Error</v>
      </c>
      <c r="K81" s="25">
        <f t="shared" si="1"/>
        <v>0</v>
      </c>
      <c r="L81" s="60">
        <v>45250.0</v>
      </c>
      <c r="M81" s="25">
        <v>36.0</v>
      </c>
      <c r="N81" s="23" t="str">
        <f t="shared" si="2"/>
        <v>VIGENT</v>
      </c>
      <c r="O81" s="62">
        <f t="shared" si="3"/>
        <v>0</v>
      </c>
      <c r="P81" s="59" t="s">
        <v>489</v>
      </c>
    </row>
    <row r="82">
      <c r="A82" s="59" t="s">
        <v>490</v>
      </c>
      <c r="B82" s="25" t="s">
        <v>24</v>
      </c>
      <c r="C82" s="59" t="s">
        <v>49</v>
      </c>
      <c r="D82" s="59" t="s">
        <v>491</v>
      </c>
      <c r="E82" s="25" t="s">
        <v>330</v>
      </c>
      <c r="F82" s="25" t="s">
        <v>331</v>
      </c>
      <c r="G82" s="25" t="s">
        <v>389</v>
      </c>
      <c r="H82" s="61"/>
      <c r="I82" s="23" t="str">
        <f>IF(SOL_LICITUDS_PRESTEC!G82&gt;=TODAY(),SOL_LICITUDS_PRESTEC!G82,"Error")
</f>
        <v>Error</v>
      </c>
      <c r="J82" s="25" t="str">
        <f>IF(SOL_LICITUDS_PRESTEC!H70&gt;G82,SOL_LICITUDS_PRESTEC!H82,"Error")</f>
        <v>Error</v>
      </c>
      <c r="K82" s="25">
        <f t="shared" si="1"/>
        <v>0</v>
      </c>
      <c r="L82" s="60">
        <v>45168.0</v>
      </c>
      <c r="M82" s="25">
        <v>24.0</v>
      </c>
      <c r="N82" s="23" t="str">
        <f t="shared" si="2"/>
        <v>CADUCADA</v>
      </c>
      <c r="O82" s="62">
        <f t="shared" si="3"/>
        <v>0</v>
      </c>
      <c r="P82" s="61"/>
    </row>
    <row r="83">
      <c r="A83" s="59" t="s">
        <v>492</v>
      </c>
      <c r="B83" s="25" t="s">
        <v>58</v>
      </c>
      <c r="C83" s="59" t="s">
        <v>477</v>
      </c>
      <c r="D83" s="59" t="s">
        <v>493</v>
      </c>
      <c r="E83" s="25" t="s">
        <v>387</v>
      </c>
      <c r="F83" s="25" t="s">
        <v>331</v>
      </c>
      <c r="G83" s="25" t="s">
        <v>389</v>
      </c>
      <c r="H83" s="61"/>
      <c r="I83" s="23" t="str">
        <f>IF(SOL_LICITUDS_PRESTEC!G83&gt;=TODAY(),SOL_LICITUDS_PRESTEC!G83,"Error")
</f>
        <v>Error</v>
      </c>
      <c r="J83" s="25" t="str">
        <f>IF(SOL_LICITUDS_PRESTEC!H71&gt;G83,SOL_LICITUDS_PRESTEC!H83,"Error")</f>
        <v>Error</v>
      </c>
      <c r="K83" s="25">
        <f t="shared" si="1"/>
        <v>0</v>
      </c>
      <c r="L83" s="61"/>
      <c r="M83" s="25"/>
      <c r="N83" s="23" t="str">
        <f t="shared" si="2"/>
        <v>CADUCADA</v>
      </c>
      <c r="O83" s="62">
        <f t="shared" si="3"/>
        <v>0</v>
      </c>
      <c r="P83" s="59" t="s">
        <v>494</v>
      </c>
    </row>
    <row r="84">
      <c r="A84" s="59" t="s">
        <v>495</v>
      </c>
      <c r="B84" s="25" t="s">
        <v>314</v>
      </c>
      <c r="C84" s="59" t="s">
        <v>374</v>
      </c>
      <c r="D84" s="59" t="s">
        <v>470</v>
      </c>
      <c r="E84" s="25" t="s">
        <v>387</v>
      </c>
      <c r="F84" s="25" t="s">
        <v>331</v>
      </c>
      <c r="G84" s="25" t="s">
        <v>389</v>
      </c>
      <c r="H84" s="61"/>
      <c r="I84" s="23" t="str">
        <f>IF(SOL_LICITUDS_PRESTEC!G84&gt;=TODAY(),SOL_LICITUDS_PRESTEC!G84,"Error")
</f>
        <v>Error</v>
      </c>
      <c r="J84" s="25" t="str">
        <f>IF(SOL_LICITUDS_PRESTEC!H72&gt;G84,SOL_LICITUDS_PRESTEC!H84,"Error")</f>
        <v>Error</v>
      </c>
      <c r="K84" s="25">
        <f t="shared" si="1"/>
        <v>0</v>
      </c>
      <c r="L84" s="60">
        <v>45066.0</v>
      </c>
      <c r="M84" s="25">
        <v>24.0</v>
      </c>
      <c r="N84" s="23" t="str">
        <f t="shared" si="2"/>
        <v>CADUCADA</v>
      </c>
      <c r="O84" s="62">
        <f t="shared" si="3"/>
        <v>0</v>
      </c>
      <c r="P84" s="61"/>
    </row>
    <row r="85">
      <c r="A85" s="59" t="s">
        <v>496</v>
      </c>
      <c r="B85" s="25" t="s">
        <v>312</v>
      </c>
      <c r="C85" s="59" t="s">
        <v>108</v>
      </c>
      <c r="D85" s="59" t="s">
        <v>346</v>
      </c>
      <c r="E85" s="25" t="s">
        <v>468</v>
      </c>
      <c r="F85" s="25" t="s">
        <v>331</v>
      </c>
      <c r="G85" s="25" t="s">
        <v>389</v>
      </c>
      <c r="H85" s="61"/>
      <c r="I85" s="23" t="str">
        <f>IF(SOL_LICITUDS_PRESTEC!G85&gt;=TODAY(),SOL_LICITUDS_PRESTEC!G85,"Error")
</f>
        <v>Error</v>
      </c>
      <c r="J85" s="25" t="str">
        <f>IF(SOL_LICITUDS_PRESTEC!H73&gt;G85,SOL_LICITUDS_PRESTEC!H85,"Error")</f>
        <v>Error</v>
      </c>
      <c r="K85" s="25">
        <f t="shared" si="1"/>
        <v>0</v>
      </c>
      <c r="L85" s="60">
        <v>45066.0</v>
      </c>
      <c r="M85" s="25">
        <v>36.0</v>
      </c>
      <c r="N85" s="23" t="str">
        <f t="shared" si="2"/>
        <v>VIGENT</v>
      </c>
      <c r="O85" s="62">
        <f t="shared" si="3"/>
        <v>0</v>
      </c>
      <c r="P85" s="59" t="s">
        <v>497</v>
      </c>
    </row>
    <row r="86">
      <c r="A86" s="59" t="s">
        <v>442</v>
      </c>
      <c r="B86" s="25" t="s">
        <v>313</v>
      </c>
      <c r="C86" s="59" t="s">
        <v>498</v>
      </c>
      <c r="D86" s="59" t="s">
        <v>499</v>
      </c>
      <c r="E86" s="25" t="s">
        <v>468</v>
      </c>
      <c r="F86" s="25" t="s">
        <v>331</v>
      </c>
      <c r="G86" s="25" t="s">
        <v>389</v>
      </c>
      <c r="H86" s="61"/>
      <c r="I86" s="23" t="str">
        <f>IF(SOL_LICITUDS_PRESTEC!G86&gt;=TODAY(),SOL_LICITUDS_PRESTEC!G86,"Error")
</f>
        <v>Error</v>
      </c>
      <c r="J86" s="25" t="str">
        <f>IF(SOL_LICITUDS_PRESTEC!H74&gt;G86,SOL_LICITUDS_PRESTEC!H86,"Error")</f>
        <v>Error</v>
      </c>
      <c r="K86" s="25">
        <f t="shared" si="1"/>
        <v>0</v>
      </c>
      <c r="L86" s="61"/>
      <c r="M86" s="23"/>
      <c r="N86" s="23" t="str">
        <f t="shared" si="2"/>
        <v>CADUCADA</v>
      </c>
      <c r="O86" s="62">
        <f t="shared" si="3"/>
        <v>0</v>
      </c>
      <c r="P86" s="62"/>
    </row>
    <row r="87">
      <c r="A87" s="59" t="s">
        <v>500</v>
      </c>
      <c r="B87" s="25" t="s">
        <v>58</v>
      </c>
      <c r="C87" s="59" t="s">
        <v>374</v>
      </c>
      <c r="D87" s="59" t="s">
        <v>467</v>
      </c>
      <c r="E87" s="25" t="s">
        <v>468</v>
      </c>
      <c r="F87" s="25" t="s">
        <v>331</v>
      </c>
      <c r="G87" s="25" t="s">
        <v>389</v>
      </c>
      <c r="H87" s="61"/>
      <c r="I87" s="23" t="str">
        <f>IF(SOL_LICITUDS_PRESTEC!G87&gt;=TODAY(),SOL_LICITUDS_PRESTEC!G87,"Error")
</f>
        <v>Error</v>
      </c>
      <c r="J87" s="25" t="str">
        <f>IF(SOL_LICITUDS_PRESTEC!H75&gt;G87,SOL_LICITUDS_PRESTEC!H87,"Error")</f>
        <v>Error</v>
      </c>
      <c r="K87" s="25">
        <f t="shared" si="1"/>
        <v>0</v>
      </c>
      <c r="L87" s="61"/>
      <c r="M87" s="23"/>
      <c r="N87" s="23" t="str">
        <f t="shared" si="2"/>
        <v>CADUCADA</v>
      </c>
      <c r="O87" s="62">
        <f t="shared" si="3"/>
        <v>0</v>
      </c>
      <c r="P87" s="61"/>
    </row>
    <row r="88">
      <c r="A88" s="59" t="s">
        <v>501</v>
      </c>
      <c r="B88" s="25" t="s">
        <v>58</v>
      </c>
      <c r="C88" s="59" t="s">
        <v>374</v>
      </c>
      <c r="D88" s="59" t="s">
        <v>502</v>
      </c>
      <c r="E88" s="25" t="s">
        <v>484</v>
      </c>
      <c r="F88" s="25" t="s">
        <v>331</v>
      </c>
      <c r="G88" s="25" t="s">
        <v>389</v>
      </c>
      <c r="H88" s="61"/>
      <c r="I88" s="23" t="str">
        <f>IF(SOL_LICITUDS_PRESTEC!G88&gt;=TODAY(),SOL_LICITUDS_PRESTEC!G88,"Error")
</f>
        <v>Error</v>
      </c>
      <c r="J88" s="25" t="str">
        <f>IF(SOL_LICITUDS_PRESTEC!H76&gt;G88,SOL_LICITUDS_PRESTEC!H88,"Error")</f>
        <v>Error</v>
      </c>
      <c r="K88" s="25">
        <f t="shared" si="1"/>
        <v>0</v>
      </c>
      <c r="L88" s="61"/>
      <c r="M88" s="23"/>
      <c r="N88" s="23" t="str">
        <f t="shared" si="2"/>
        <v>CADUCADA</v>
      </c>
      <c r="O88" s="62">
        <f t="shared" si="3"/>
        <v>0</v>
      </c>
      <c r="P88" s="61"/>
    </row>
    <row r="89">
      <c r="A89" s="59" t="s">
        <v>446</v>
      </c>
      <c r="B89" s="25" t="s">
        <v>314</v>
      </c>
      <c r="C89" s="59" t="s">
        <v>374</v>
      </c>
      <c r="D89" s="59" t="s">
        <v>470</v>
      </c>
      <c r="E89" s="25" t="s">
        <v>484</v>
      </c>
      <c r="F89" s="25" t="s">
        <v>331</v>
      </c>
      <c r="G89" s="25" t="s">
        <v>389</v>
      </c>
      <c r="H89" s="61"/>
      <c r="I89" s="23" t="str">
        <f>IF(SOL_LICITUDS_PRESTEC!G89&gt;=TODAY(),SOL_LICITUDS_PRESTEC!G89,"Error")
</f>
        <v>Error</v>
      </c>
      <c r="J89" s="25" t="str">
        <f>IF(SOL_LICITUDS_PRESTEC!H77&gt;G89,SOL_LICITUDS_PRESTEC!H89,"Error")</f>
        <v>Error</v>
      </c>
      <c r="K89" s="25">
        <f t="shared" si="1"/>
        <v>0</v>
      </c>
      <c r="L89" s="61"/>
      <c r="M89" s="23"/>
      <c r="N89" s="23" t="str">
        <f t="shared" si="2"/>
        <v>CADUCADA</v>
      </c>
      <c r="O89" s="62">
        <f t="shared" si="3"/>
        <v>0</v>
      </c>
      <c r="P89" s="61"/>
    </row>
    <row r="90">
      <c r="A90" s="59" t="s">
        <v>503</v>
      </c>
      <c r="B90" s="25" t="s">
        <v>112</v>
      </c>
      <c r="C90" s="59" t="s">
        <v>429</v>
      </c>
      <c r="D90" s="59" t="s">
        <v>504</v>
      </c>
      <c r="E90" s="25" t="s">
        <v>484</v>
      </c>
      <c r="F90" s="25" t="s">
        <v>331</v>
      </c>
      <c r="G90" s="25" t="s">
        <v>389</v>
      </c>
      <c r="H90" s="61"/>
      <c r="I90" s="23" t="str">
        <f>IF(SOL_LICITUDS_PRESTEC!G90&gt;=TODAY(),SOL_LICITUDS_PRESTEC!G90,"Error")
</f>
        <v>Error</v>
      </c>
      <c r="J90" s="25" t="str">
        <f>IF(SOL_LICITUDS_PRESTEC!H78&gt;G90,SOL_LICITUDS_PRESTEC!H90,"Error")</f>
        <v>Error</v>
      </c>
      <c r="K90" s="25">
        <f t="shared" si="1"/>
        <v>0</v>
      </c>
      <c r="L90" s="60">
        <v>44722.0</v>
      </c>
      <c r="M90" s="25">
        <v>24.0</v>
      </c>
      <c r="N90" s="23" t="str">
        <f t="shared" si="2"/>
        <v>CADUCADA</v>
      </c>
      <c r="O90" s="62">
        <f t="shared" si="3"/>
        <v>0</v>
      </c>
      <c r="P90" s="59" t="s">
        <v>505</v>
      </c>
    </row>
    <row r="91">
      <c r="A91" s="59" t="s">
        <v>506</v>
      </c>
      <c r="B91" s="25" t="s">
        <v>112</v>
      </c>
      <c r="C91" s="59" t="s">
        <v>507</v>
      </c>
      <c r="D91" s="59" t="s">
        <v>508</v>
      </c>
      <c r="E91" s="25" t="s">
        <v>509</v>
      </c>
      <c r="F91" s="25" t="s">
        <v>331</v>
      </c>
      <c r="G91" s="25" t="s">
        <v>389</v>
      </c>
      <c r="H91" s="61"/>
      <c r="I91" s="23" t="str">
        <f>IF(SOL_LICITUDS_PRESTEC!G91&gt;=TODAY(),SOL_LICITUDS_PRESTEC!G91,"Error")
</f>
        <v>Error</v>
      </c>
      <c r="J91" s="25" t="str">
        <f>IF(SOL_LICITUDS_PRESTEC!H79&gt;G91,SOL_LICITUDS_PRESTEC!H91,"Error")</f>
        <v>Error</v>
      </c>
      <c r="K91" s="25">
        <f t="shared" si="1"/>
        <v>0</v>
      </c>
      <c r="L91" s="60">
        <v>44985.0</v>
      </c>
      <c r="M91" s="25">
        <v>24.0</v>
      </c>
      <c r="N91" s="23" t="str">
        <f t="shared" si="2"/>
        <v>CADUCADA</v>
      </c>
      <c r="O91" s="62">
        <f t="shared" si="3"/>
        <v>0</v>
      </c>
      <c r="P91" s="61"/>
    </row>
    <row r="92">
      <c r="A92" s="59" t="s">
        <v>152</v>
      </c>
      <c r="B92" s="25" t="s">
        <v>13</v>
      </c>
      <c r="C92" s="59" t="s">
        <v>45</v>
      </c>
      <c r="D92" s="59" t="s">
        <v>510</v>
      </c>
      <c r="E92" s="25" t="s">
        <v>330</v>
      </c>
      <c r="F92" s="25" t="s">
        <v>348</v>
      </c>
      <c r="G92" s="25" t="s">
        <v>349</v>
      </c>
      <c r="H92" s="61"/>
      <c r="I92" s="23" t="str">
        <f>IF(SOL_LICITUDS_PRESTEC!G92&gt;=TODAY(),SOL_LICITUDS_PRESTEC!G92,"Error")
</f>
        <v>Error</v>
      </c>
      <c r="J92" s="25" t="str">
        <f>IF(SOL_LICITUDS_PRESTEC!H80&gt;G92,SOL_LICITUDS_PRESTEC!H92,"Error")</f>
        <v>Error</v>
      </c>
      <c r="K92" s="25">
        <f t="shared" si="1"/>
        <v>0</v>
      </c>
      <c r="L92" s="61"/>
      <c r="M92" s="23"/>
      <c r="N92" s="23" t="str">
        <f t="shared" si="2"/>
        <v>CADUCADA</v>
      </c>
      <c r="O92" s="62">
        <f t="shared" si="3"/>
        <v>0</v>
      </c>
      <c r="P92" s="59" t="s">
        <v>511</v>
      </c>
    </row>
    <row r="93">
      <c r="A93" s="59" t="s">
        <v>512</v>
      </c>
      <c r="B93" s="25" t="s">
        <v>314</v>
      </c>
      <c r="C93" s="59" t="s">
        <v>374</v>
      </c>
      <c r="D93" s="59" t="s">
        <v>470</v>
      </c>
      <c r="E93" s="25" t="s">
        <v>382</v>
      </c>
      <c r="F93" s="25" t="s">
        <v>331</v>
      </c>
      <c r="G93" s="25" t="s">
        <v>389</v>
      </c>
      <c r="H93" s="61"/>
      <c r="I93" s="23" t="str">
        <f>IF(SOL_LICITUDS_PRESTEC!G93&gt;=TODAY(),SOL_LICITUDS_PRESTEC!G93,"Error")
</f>
        <v>Error</v>
      </c>
      <c r="J93" s="25" t="str">
        <f>IF(SOL_LICITUDS_PRESTEC!H81&gt;G93,SOL_LICITUDS_PRESTEC!H93,"Error")</f>
        <v>Error</v>
      </c>
      <c r="K93" s="25">
        <f t="shared" si="1"/>
        <v>0</v>
      </c>
      <c r="L93" s="61"/>
      <c r="M93" s="23"/>
      <c r="N93" s="23" t="str">
        <f t="shared" si="2"/>
        <v>CADUCADA</v>
      </c>
      <c r="O93" s="62">
        <f t="shared" si="3"/>
        <v>0</v>
      </c>
      <c r="P93" s="61"/>
    </row>
    <row r="95">
      <c r="M95" s="47"/>
    </row>
    <row r="98">
      <c r="B98" s="66"/>
    </row>
  </sheetData>
  <conditionalFormatting sqref="N2:N93">
    <cfRule type="cellIs" dxfId="5" priority="1" operator="equal">
      <formula>"CADUCADA"</formula>
    </cfRule>
  </conditionalFormatting>
  <conditionalFormatting sqref="N2:N93">
    <cfRule type="cellIs" dxfId="6" priority="2" operator="equal">
      <formula>"VIGENT"</formula>
    </cfRule>
  </conditionalFormatting>
  <dataValidations>
    <dataValidation type="list" allowBlank="1" showErrorMessage="1" sqref="B2:B93">
      <formula1>"Portàtil,Tàblet,Càmera,Mòbil,Disc extern,Accesoris,Ordinador,Monitor,Teclat,Ratolí,Impressora,Projector"</formula1>
    </dataValidation>
    <dataValidation type="list" allowBlank="1" showErrorMessage="1" sqref="G2:G93">
      <formula1>"Manteniment,Avariat,Disponible,En_Prestec,Retirat"</formula1>
    </dataValidation>
    <dataValidation type="list" allowBlank="1" showErrorMessage="1" sqref="M2:M93">
      <formula1>"12,24,36"</formula1>
    </dataValidation>
    <dataValidation type="list" allowBlank="1" showErrorMessage="1" sqref="F2:F93">
      <formula1>"SI,NO"</formula1>
    </dataValidation>
    <dataValidation type="list" allowBlank="1" showErrorMessage="1" sqref="E2:E93">
      <formula1>"ENGINYERIA_02,MAGATZEM ,Sala_Reunions_A,Sala_Reunions_B,IT-01,ENGINYERIA_01,Comercial_04,DESPATX_01,DISSENY_01,COMERCIAL_01,DESPATX_DIRECCIO,ADMINISTRACIO_01,COMERCIAL_02,DESPATX_02"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13"/>
  </cols>
  <sheetData>
    <row r="1">
      <c r="A1" s="67" t="s">
        <v>513</v>
      </c>
      <c r="B1" s="68" t="s">
        <v>236</v>
      </c>
      <c r="C1" s="68" t="s">
        <v>317</v>
      </c>
      <c r="D1" s="68" t="s">
        <v>318</v>
      </c>
      <c r="E1" s="68" t="s">
        <v>322</v>
      </c>
      <c r="F1" s="68" t="s">
        <v>514</v>
      </c>
      <c r="G1" s="68" t="s">
        <v>515</v>
      </c>
    </row>
  </sheetData>
  <drawing r:id="rId1"/>
</worksheet>
</file>