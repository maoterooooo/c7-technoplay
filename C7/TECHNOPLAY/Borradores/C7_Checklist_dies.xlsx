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ficació prevista" sheetId="1" r:id="rId4"/>
    <sheet state="visible" name="Llistes" sheetId="2" r:id="rId5"/>
  </sheets>
  <definedNames/>
  <calcPr/>
</workbook>
</file>

<file path=xl/sharedStrings.xml><?xml version="1.0" encoding="utf-8"?>
<sst xmlns="http://schemas.openxmlformats.org/spreadsheetml/2006/main" count="74" uniqueCount="40">
  <si>
    <t>Client</t>
  </si>
  <si>
    <t>ElectroTech</t>
  </si>
  <si>
    <t>PLANIFICACIÓ DEL PROJECTE</t>
  </si>
  <si>
    <t>CALENDARI</t>
  </si>
  <si>
    <t>ID</t>
  </si>
  <si>
    <t>Nom</t>
  </si>
  <si>
    <t>Durada</t>
  </si>
  <si>
    <t>Data Inici prevista</t>
  </si>
  <si>
    <t>Data Final Prevista</t>
  </si>
  <si>
    <t>Dependència</t>
  </si>
  <si>
    <t>Estat</t>
  </si>
  <si>
    <t>Responsable</t>
  </si>
  <si>
    <t>Prioritat</t>
  </si>
  <si>
    <t>Endarreriment</t>
  </si>
  <si>
    <t>Data Inici real</t>
  </si>
  <si>
    <t>Data Final Real</t>
  </si>
  <si>
    <t>Tasca 1: Correu al client amb llista de preguntes específiques i intel·ligents</t>
  </si>
  <si>
    <t>Completada</t>
  </si>
  <si>
    <t>Raul</t>
  </si>
  <si>
    <t>Tasca 2: NotebookLM funcional amb la documentació analitzada i notes de treball</t>
  </si>
  <si>
    <t>Miguel</t>
  </si>
  <si>
    <t>Tasca 3: Checklist setmanal actualitzat a la carpeta compartida</t>
  </si>
  <si>
    <t>Izan</t>
  </si>
  <si>
    <t>Tasca 4: Proposta tècnica</t>
  </si>
  <si>
    <t>En curs</t>
  </si>
  <si>
    <t>Tasca 5: Planificació temporal</t>
  </si>
  <si>
    <t>Tasca 6: Pressupost</t>
  </si>
  <si>
    <t>Tasca 7: Formalització Gestió d'Avaries</t>
  </si>
  <si>
    <t>Per començar</t>
  </si>
  <si>
    <t>Tasca 8: Gestió de Recanvis i Baixes</t>
  </si>
  <si>
    <t>Tasca 9: Organització Física i Etiquetatge del Magatzem</t>
  </si>
  <si>
    <t>Tasca 10: Reunió de Seguiment 1: Gestió d'Avaries i Recanvis</t>
  </si>
  <si>
    <t>Tasca 11: Formalització i Documentació del Procés d'Avaries</t>
  </si>
  <si>
    <t>Tasca 12: Execució de Manteniments i Reparacions Urgents</t>
  </si>
  <si>
    <t>Tasca 13: Reunió de Seguiment 2: Protocol de Préstecs</t>
  </si>
  <si>
    <t xml:space="preserve">Tasca 14: Implementació del Protocol de Préstecs i Retorns
</t>
  </si>
  <si>
    <t xml:space="preserve">Tasca 15: Reunió d'Avaluació Tècnica i Logística de Baixes
</t>
  </si>
  <si>
    <t xml:space="preserve">Tasca 16: Reunió Final i Transferència de Coneixement
</t>
  </si>
  <si>
    <t>Membres</t>
  </si>
  <si>
    <t>Aplaçada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</si>
</sst>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sz val="11.0"/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  <font/>
    <font>
      <b/>
      <color rgb="FFFFFFFF"/>
      <name val="Arial"/>
      <scheme val="minor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4A86E8"/>
        <bgColor rgb="FF4A86E8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FD966"/>
        <bgColor rgb="FFFFD966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1" fillId="2" fontId="3" numFmtId="0" xfId="0" applyAlignment="1" applyBorder="1" applyFill="1" applyFont="1">
      <alignment readingOrder="0" shrinkToFit="0" wrapText="1"/>
    </xf>
    <xf borderId="2" fillId="0" fontId="2" numFmtId="0" xfId="0" applyAlignment="1" applyBorder="1" applyFont="1">
      <alignment readingOrder="0" shrinkToFit="0" wrapText="1"/>
    </xf>
    <xf borderId="3" fillId="0" fontId="4" numFmtId="0" xfId="0" applyBorder="1" applyFont="1"/>
    <xf borderId="4" fillId="0" fontId="4" numFmtId="0" xfId="0" applyBorder="1" applyFont="1"/>
    <xf borderId="0" fillId="0" fontId="2" numFmtId="0" xfId="0" applyAlignment="1" applyFont="1">
      <alignment readingOrder="0" shrinkToFit="0" wrapText="1"/>
    </xf>
    <xf borderId="5" fillId="3" fontId="5" numFmtId="0" xfId="0" applyBorder="1" applyFill="1" applyFont="1"/>
    <xf borderId="5" fillId="3" fontId="5" numFmtId="0" xfId="0" applyAlignment="1" applyBorder="1" applyFont="1">
      <alignment readingOrder="0" shrinkToFit="0" wrapText="1"/>
    </xf>
    <xf borderId="6" fillId="0" fontId="4" numFmtId="0" xfId="0" applyBorder="1" applyFont="1"/>
    <xf borderId="7" fillId="0" fontId="4" numFmtId="0" xfId="0" applyBorder="1" applyFont="1"/>
    <xf borderId="5" fillId="4" fontId="3" numFmtId="0" xfId="0" applyAlignment="1" applyBorder="1" applyFill="1" applyFont="1">
      <alignment readingOrder="0" shrinkToFit="0" wrapText="1"/>
    </xf>
    <xf borderId="8" fillId="5" fontId="3" numFmtId="0" xfId="0" applyAlignment="1" applyBorder="1" applyFill="1" applyFont="1">
      <alignment horizontal="center" readingOrder="0"/>
    </xf>
    <xf borderId="9" fillId="5" fontId="3" numFmtId="0" xfId="0" applyAlignment="1" applyBorder="1" applyFont="1">
      <alignment horizontal="center" readingOrder="0" shrinkToFit="0" wrapText="1"/>
    </xf>
    <xf borderId="10" fillId="5" fontId="3" numFmtId="0" xfId="0" applyAlignment="1" applyBorder="1" applyFont="1">
      <alignment horizontal="center" readingOrder="0" shrinkToFit="0" wrapText="1"/>
    </xf>
    <xf borderId="11" fillId="5" fontId="3" numFmtId="0" xfId="0" applyAlignment="1" applyBorder="1" applyFont="1">
      <alignment horizontal="center" readingOrder="0" shrinkToFit="0" wrapText="1"/>
    </xf>
    <xf borderId="9" fillId="6" fontId="2" numFmtId="164" xfId="0" applyAlignment="1" applyBorder="1" applyFill="1" applyFont="1" applyNumberFormat="1">
      <alignment readingOrder="0" shrinkToFit="0" textRotation="90" wrapText="1"/>
    </xf>
    <xf borderId="10" fillId="6" fontId="2" numFmtId="164" xfId="0" applyAlignment="1" applyBorder="1" applyFont="1" applyNumberFormat="1">
      <alignment shrinkToFit="0" textRotation="90" wrapText="1"/>
    </xf>
    <xf borderId="11" fillId="6" fontId="2" numFmtId="164" xfId="0" applyAlignment="1" applyBorder="1" applyFont="1" applyNumberFormat="1">
      <alignment shrinkToFit="0" textRotation="90" wrapText="1"/>
    </xf>
    <xf borderId="12" fillId="0" fontId="2" numFmtId="0" xfId="0" applyAlignment="1" applyBorder="1" applyFont="1">
      <alignment readingOrder="0"/>
    </xf>
    <xf borderId="13" fillId="0" fontId="2" numFmtId="0" xfId="0" applyAlignment="1" applyBorder="1" applyFont="1">
      <alignment readingOrder="0" shrinkToFit="0" wrapText="1"/>
    </xf>
    <xf borderId="14" fillId="0" fontId="2" numFmtId="0" xfId="0" applyAlignment="1" applyBorder="1" applyFont="1">
      <alignment readingOrder="0" shrinkToFit="0" wrapText="1"/>
    </xf>
    <xf borderId="14" fillId="0" fontId="2" numFmtId="164" xfId="0" applyAlignment="1" applyBorder="1" applyFont="1" applyNumberFormat="1">
      <alignment readingOrder="0" shrinkToFit="0" wrapText="1"/>
    </xf>
    <xf borderId="1" fillId="6" fontId="2" numFmtId="164" xfId="0" applyAlignment="1" applyBorder="1" applyFont="1" applyNumberFormat="1">
      <alignment shrinkToFit="0" wrapText="1"/>
    </xf>
    <xf borderId="15" fillId="6" fontId="2" numFmtId="164" xfId="0" applyAlignment="1" applyBorder="1" applyFont="1" applyNumberFormat="1">
      <alignment readingOrder="0" shrinkToFit="0" wrapText="1"/>
    </xf>
    <xf borderId="1" fillId="7" fontId="2" numFmtId="0" xfId="0" applyAlignment="1" applyBorder="1" applyFill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2" fontId="2" numFmtId="0" xfId="0" applyAlignment="1" applyBorder="1" applyFont="1">
      <alignment shrinkToFit="0" wrapText="1"/>
    </xf>
    <xf borderId="1" fillId="8" fontId="2" numFmtId="0" xfId="0" applyAlignment="1" applyBorder="1" applyFill="1" applyFont="1">
      <alignment shrinkToFit="0" wrapText="1"/>
    </xf>
    <xf borderId="14" fillId="8" fontId="2" numFmtId="0" xfId="0" applyAlignment="1" applyBorder="1" applyFont="1">
      <alignment shrinkToFit="0" wrapText="1"/>
    </xf>
    <xf borderId="14" fillId="0" fontId="2" numFmtId="0" xfId="0" applyAlignment="1" applyBorder="1" applyFont="1">
      <alignment shrinkToFit="0" wrapText="1"/>
    </xf>
    <xf borderId="16" fillId="0" fontId="2" numFmtId="0" xfId="0" applyAlignment="1" applyBorder="1" applyFont="1">
      <alignment shrinkToFit="0" wrapText="1"/>
    </xf>
    <xf borderId="2" fillId="9" fontId="2" numFmtId="0" xfId="0" applyAlignment="1" applyBorder="1" applyFill="1" applyFont="1">
      <alignment readingOrder="0"/>
    </xf>
    <xf borderId="17" fillId="9" fontId="2" numFmtId="0" xfId="0" applyAlignment="1" applyBorder="1" applyFont="1">
      <alignment readingOrder="0" shrinkToFit="0" wrapText="1"/>
    </xf>
    <xf borderId="1" fillId="9" fontId="2" numFmtId="0" xfId="0" applyAlignment="1" applyBorder="1" applyFont="1">
      <alignment readingOrder="0" shrinkToFit="0" wrapText="1"/>
    </xf>
    <xf borderId="1" fillId="9" fontId="2" numFmtId="164" xfId="0" applyAlignment="1" applyBorder="1" applyFont="1" applyNumberFormat="1">
      <alignment readingOrder="0" shrinkToFit="0" wrapText="1"/>
    </xf>
    <xf borderId="15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readingOrder="0"/>
    </xf>
    <xf borderId="17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164" xfId="0" applyAlignment="1" applyBorder="1" applyFont="1" applyNumberFormat="1">
      <alignment readingOrder="0" shrinkToFit="0" wrapText="1"/>
    </xf>
    <xf borderId="17" fillId="7" fontId="2" numFmtId="0" xfId="0" applyAlignment="1" applyBorder="1" applyFont="1">
      <alignment shrinkToFit="0" wrapText="1"/>
    </xf>
    <xf borderId="1" fillId="10" fontId="2" numFmtId="164" xfId="0" applyAlignment="1" applyBorder="1" applyFill="1" applyFont="1" applyNumberFormat="1">
      <alignment shrinkToFit="0" wrapText="1"/>
    </xf>
    <xf borderId="1" fillId="9" fontId="2" numFmtId="0" xfId="0" applyAlignment="1" applyBorder="1" applyFont="1">
      <alignment shrinkToFit="0" wrapText="1"/>
    </xf>
    <xf borderId="15" fillId="10" fontId="2" numFmtId="164" xfId="0" applyAlignment="1" applyBorder="1" applyFont="1" applyNumberFormat="1">
      <alignment shrinkToFit="0" wrapText="1"/>
    </xf>
    <xf borderId="17" fillId="0" fontId="2" numFmtId="0" xfId="0" applyAlignment="1" applyBorder="1" applyFont="1">
      <alignment shrinkToFit="0" wrapText="1"/>
    </xf>
    <xf borderId="15" fillId="6" fontId="2" numFmtId="164" xfId="0" applyAlignment="1" applyBorder="1" applyFont="1" applyNumberFormat="1">
      <alignment shrinkToFit="0" wrapText="1"/>
    </xf>
    <xf borderId="17" fillId="0" fontId="6" numFmtId="0" xfId="0" applyAlignment="1" applyBorder="1" applyFont="1">
      <alignment readingOrder="0" shrinkToFit="0" vertical="bottom" wrapText="1"/>
    </xf>
    <xf borderId="17" fillId="9" fontId="6" numFmtId="0" xfId="0" applyAlignment="1" applyBorder="1" applyFont="1">
      <alignment readingOrder="0" shrinkToFit="0" vertical="bottom" wrapText="1"/>
    </xf>
    <xf borderId="1" fillId="9" fontId="2" numFmtId="164" xfId="0" applyAlignment="1" applyBorder="1" applyFont="1" applyNumberFormat="1">
      <alignment shrinkToFit="0" wrapText="1"/>
    </xf>
    <xf borderId="17" fillId="0" fontId="6" numFmtId="0" xfId="0" applyAlignment="1" applyBorder="1" applyFont="1">
      <alignment shrinkToFit="0" vertical="bottom" wrapText="1"/>
    </xf>
    <xf borderId="17" fillId="9" fontId="6" numFmtId="0" xfId="0" applyAlignment="1" applyBorder="1" applyFont="1">
      <alignment shrinkToFit="0" vertical="bottom" wrapText="1"/>
    </xf>
    <xf borderId="17" fillId="9" fontId="2" numFmtId="0" xfId="0" applyAlignment="1" applyBorder="1" applyFont="1">
      <alignment shrinkToFit="0" wrapText="1"/>
    </xf>
    <xf borderId="9" fillId="0" fontId="2" numFmtId="0" xfId="0" applyAlignment="1" applyBorder="1" applyFont="1">
      <alignment shrinkToFit="0" wrapText="1"/>
    </xf>
    <xf borderId="10" fillId="0" fontId="2" numFmtId="0" xfId="0" applyAlignment="1" applyBorder="1" applyFont="1">
      <alignment shrinkToFit="0" wrapText="1"/>
    </xf>
    <xf borderId="10" fillId="0" fontId="2" numFmtId="164" xfId="0" applyAlignment="1" applyBorder="1" applyFont="1" applyNumberFormat="1">
      <alignment shrinkToFit="0" wrapText="1"/>
    </xf>
    <xf borderId="10" fillId="0" fontId="2" numFmtId="0" xfId="0" applyAlignment="1" applyBorder="1" applyFont="1">
      <alignment readingOrder="0" shrinkToFit="0" wrapText="1"/>
    </xf>
    <xf borderId="11" fillId="6" fontId="2" numFmtId="164" xfId="0" applyAlignment="1" applyBorder="1" applyFont="1" applyNumberFormat="1">
      <alignment shrinkToFit="0" wrapText="1"/>
    </xf>
    <xf borderId="10" fillId="2" fontId="2" numFmtId="0" xfId="0" applyAlignment="1" applyBorder="1" applyFont="1">
      <alignment shrinkToFit="0" wrapText="1"/>
    </xf>
    <xf borderId="11" fillId="0" fontId="2" numFmtId="0" xfId="0" applyAlignment="1" applyBorder="1" applyFont="1">
      <alignment shrinkToFit="0" wrapText="1"/>
    </xf>
    <xf borderId="0" fillId="0" fontId="2" numFmtId="164" xfId="0" applyAlignment="1" applyFont="1" applyNumberFormat="1">
      <alignment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0</xdr:rowOff>
    </xdr:from>
    <xdr:ext cx="1704975" cy="561975"/>
    <xdr:pic>
      <xdr:nvPicPr>
        <xdr:cNvPr id="0" name="image1.png" title="Imat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63"/>
    <col customWidth="1" min="2" max="2" width="25.63"/>
    <col customWidth="1" min="3" max="3" width="7.13"/>
    <col customWidth="1" min="4" max="5" width="9.25"/>
    <col customWidth="1" min="6" max="6" width="6.75"/>
    <col customWidth="1" min="7" max="7" width="16.13"/>
    <col customWidth="1" min="8" max="8" width="13.13"/>
    <col customWidth="1" min="9" max="9" width="7.88"/>
    <col customWidth="1" min="10" max="10" width="7.75"/>
    <col customWidth="1" min="11" max="12" width="9.25"/>
    <col customWidth="1" min="13" max="68" width="3.25"/>
  </cols>
  <sheetData>
    <row r="1">
      <c r="A1" s="1"/>
      <c r="B1" s="2"/>
      <c r="C1" s="2"/>
      <c r="D1" s="2"/>
      <c r="E1" s="2"/>
      <c r="F1" s="2"/>
      <c r="G1" s="2"/>
      <c r="H1" s="3" t="s">
        <v>0</v>
      </c>
      <c r="I1" s="4" t="s">
        <v>1</v>
      </c>
      <c r="J1" s="5"/>
      <c r="K1" s="5"/>
      <c r="L1" s="6"/>
      <c r="M1" s="2"/>
      <c r="N1" s="2"/>
    </row>
    <row r="2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C3" s="2"/>
      <c r="D3" s="2"/>
      <c r="E3" s="2"/>
      <c r="F3" s="2"/>
      <c r="G3" s="2"/>
      <c r="H3" s="7"/>
      <c r="M3" s="2"/>
      <c r="N3" s="2"/>
    </row>
    <row r="4">
      <c r="A4" s="8"/>
      <c r="B4" s="9" t="s">
        <v>2</v>
      </c>
      <c r="C4" s="10"/>
      <c r="D4" s="10"/>
      <c r="E4" s="10"/>
      <c r="F4" s="10"/>
      <c r="G4" s="10"/>
      <c r="H4" s="10"/>
      <c r="I4" s="10"/>
      <c r="J4" s="10"/>
      <c r="K4" s="10"/>
      <c r="L4" s="11"/>
      <c r="M4" s="12" t="s">
        <v>3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1"/>
    </row>
    <row r="5" ht="56.25" customHeight="1">
      <c r="A5" s="13" t="s">
        <v>4</v>
      </c>
      <c r="B5" s="14" t="s">
        <v>5</v>
      </c>
      <c r="C5" s="15" t="s">
        <v>6</v>
      </c>
      <c r="D5" s="15" t="s">
        <v>7</v>
      </c>
      <c r="E5" s="15" t="s">
        <v>8</v>
      </c>
      <c r="F5" s="15" t="s">
        <v>9</v>
      </c>
      <c r="G5" s="15" t="s">
        <v>10</v>
      </c>
      <c r="H5" s="15" t="s">
        <v>11</v>
      </c>
      <c r="I5" s="15" t="s">
        <v>12</v>
      </c>
      <c r="J5" s="15" t="s">
        <v>13</v>
      </c>
      <c r="K5" s="15" t="s">
        <v>14</v>
      </c>
      <c r="L5" s="16" t="s">
        <v>15</v>
      </c>
      <c r="M5" s="17">
        <f>IFERROR(__xludf.DUMMYFUNCTION("IF(ISDATE(D6),D6,"""")"),45939.0)</f>
        <v>45939</v>
      </c>
      <c r="N5" s="18">
        <f>IFERROR(__xludf.DUMMYFUNCTION("IF(ISDATE(M5),M5+1,"""")"),45940.0)</f>
        <v>45940</v>
      </c>
      <c r="O5" s="18">
        <f>IFERROR(__xludf.DUMMYFUNCTION("IF(ISDATE(N5),N5+1,"""")"),45941.0)</f>
        <v>45941</v>
      </c>
      <c r="P5" s="18">
        <f>IFERROR(__xludf.DUMMYFUNCTION("IF(ISDATE(O5),O5+1,"""")"),45942.0)</f>
        <v>45942</v>
      </c>
      <c r="Q5" s="18">
        <f>IFERROR(__xludf.DUMMYFUNCTION("IF(ISDATE(P5),P5+1,"""")"),45943.0)</f>
        <v>45943</v>
      </c>
      <c r="R5" s="18">
        <f>IFERROR(__xludf.DUMMYFUNCTION("IF(ISDATE(Q5),Q5+1,"""")"),45944.0)</f>
        <v>45944</v>
      </c>
      <c r="S5" s="18">
        <f>IFERROR(__xludf.DUMMYFUNCTION("IF(ISDATE(R5),R5+1,"""")"),45945.0)</f>
        <v>45945</v>
      </c>
      <c r="T5" s="18">
        <f>IFERROR(__xludf.DUMMYFUNCTION("IF(ISDATE(S5),S5+1,"""")"),45946.0)</f>
        <v>45946</v>
      </c>
      <c r="U5" s="18">
        <f>IFERROR(__xludf.DUMMYFUNCTION("IF(ISDATE(T5),T5+1,"""")"),45947.0)</f>
        <v>45947</v>
      </c>
      <c r="V5" s="18">
        <f>IFERROR(__xludf.DUMMYFUNCTION("IF(ISDATE(U5),U5+1,"""")"),45948.0)</f>
        <v>45948</v>
      </c>
      <c r="W5" s="18">
        <f>IFERROR(__xludf.DUMMYFUNCTION("IF(ISDATE(V5),V5+1,"""")"),45949.0)</f>
        <v>45949</v>
      </c>
      <c r="X5" s="18">
        <f>IFERROR(__xludf.DUMMYFUNCTION("IF(ISDATE(W5),W5+1,"""")"),45950.0)</f>
        <v>45950</v>
      </c>
      <c r="Y5" s="18">
        <f>IFERROR(__xludf.DUMMYFUNCTION("IF(ISDATE(X5),X5+1,"""")"),45951.0)</f>
        <v>45951</v>
      </c>
      <c r="Z5" s="18">
        <f>IFERROR(__xludf.DUMMYFUNCTION("IF(ISDATE(Y5),Y5+1,"""")"),45952.0)</f>
        <v>45952</v>
      </c>
      <c r="AA5" s="18">
        <f>IFERROR(__xludf.DUMMYFUNCTION("IF(ISDATE(Z5),Z5+1,"""")"),45953.0)</f>
        <v>45953</v>
      </c>
      <c r="AB5" s="18">
        <f>IFERROR(__xludf.DUMMYFUNCTION("IF(ISDATE(AA5),AA5+1,"""")"),45954.0)</f>
        <v>45954</v>
      </c>
      <c r="AC5" s="18">
        <f>IFERROR(__xludf.DUMMYFUNCTION("IF(ISDATE(AB5),AB5+1,"""")"),45955.0)</f>
        <v>45955</v>
      </c>
      <c r="AD5" s="18">
        <f>IFERROR(__xludf.DUMMYFUNCTION("IF(ISDATE(AC5),AC5+1,"""")"),45956.0)</f>
        <v>45956</v>
      </c>
      <c r="AE5" s="18">
        <f>IFERROR(__xludf.DUMMYFUNCTION("IF(ISDATE(AD5),AD5+1,"""")"),45957.0)</f>
        <v>45957</v>
      </c>
      <c r="AF5" s="18">
        <f>IFERROR(__xludf.DUMMYFUNCTION("IF(ISDATE(AE5),AE5+1,"""")"),45958.0)</f>
        <v>45958</v>
      </c>
      <c r="AG5" s="18">
        <f>IFERROR(__xludf.DUMMYFUNCTION("IF(ISDATE(AF5),AF5+1,"""")"),45959.0)</f>
        <v>45959</v>
      </c>
      <c r="AH5" s="18">
        <f>IFERROR(__xludf.DUMMYFUNCTION("IF(ISDATE(AG5),AG5+1,"""")"),45960.0)</f>
        <v>45960</v>
      </c>
      <c r="AI5" s="18">
        <f>IFERROR(__xludf.DUMMYFUNCTION("IF(ISDATE(AH5),AH5+1,"""")"),45961.0)</f>
        <v>45961</v>
      </c>
      <c r="AJ5" s="18">
        <f>IFERROR(__xludf.DUMMYFUNCTION("IF(ISDATE(AI5),AI5+1,"""")"),45962.0)</f>
        <v>45962</v>
      </c>
      <c r="AK5" s="18">
        <f>IFERROR(__xludf.DUMMYFUNCTION("IF(ISDATE(AJ5),AJ5+1,"""")"),45963.0)</f>
        <v>45963</v>
      </c>
      <c r="AL5" s="18">
        <f>IFERROR(__xludf.DUMMYFUNCTION("IF(ISDATE(AK5),AK5+1,"""")"),45964.0)</f>
        <v>45964</v>
      </c>
      <c r="AM5" s="18">
        <f>IFERROR(__xludf.DUMMYFUNCTION("IF(ISDATE(AL5),AL5+1,"""")"),45965.0)</f>
        <v>45965</v>
      </c>
      <c r="AN5" s="18">
        <f>IFERROR(__xludf.DUMMYFUNCTION("IF(ISDATE(AM5),AM5+1,"""")"),45966.0)</f>
        <v>45966</v>
      </c>
      <c r="AO5" s="18">
        <f>IFERROR(__xludf.DUMMYFUNCTION("IF(ISDATE(AN5),AN5+1,"""")"),45967.0)</f>
        <v>45967</v>
      </c>
      <c r="AP5" s="18">
        <f>IFERROR(__xludf.DUMMYFUNCTION("IF(ISDATE(AO5),AO5+1,"""")"),45968.0)</f>
        <v>45968</v>
      </c>
      <c r="AQ5" s="18">
        <f>IFERROR(__xludf.DUMMYFUNCTION("IF(ISDATE(AP5),AP5+1,"""")"),45969.0)</f>
        <v>45969</v>
      </c>
      <c r="AR5" s="18">
        <f>IFERROR(__xludf.DUMMYFUNCTION("IF(ISDATE(AQ5),AQ5+1,"""")"),45970.0)</f>
        <v>45970</v>
      </c>
      <c r="AS5" s="18">
        <f>IFERROR(__xludf.DUMMYFUNCTION("IF(ISDATE(AR5),AR5+1,"""")"),45971.0)</f>
        <v>45971</v>
      </c>
      <c r="AT5" s="18">
        <f>IFERROR(__xludf.DUMMYFUNCTION("IF(ISDATE(AS5),AS5+1,"""")"),45972.0)</f>
        <v>45972</v>
      </c>
      <c r="AU5" s="18">
        <f>IFERROR(__xludf.DUMMYFUNCTION("IF(ISDATE(AT5),AT5+1,"""")"),45973.0)</f>
        <v>45973</v>
      </c>
      <c r="AV5" s="18">
        <f>IFERROR(__xludf.DUMMYFUNCTION("IF(ISDATE(AU5),AU5+1,"""")"),45974.0)</f>
        <v>45974</v>
      </c>
      <c r="AW5" s="18">
        <f>IFERROR(__xludf.DUMMYFUNCTION("IF(ISDATE(AV5),AV5+1,"""")"),45975.0)</f>
        <v>45975</v>
      </c>
      <c r="AX5" s="18">
        <f>IFERROR(__xludf.DUMMYFUNCTION("IF(ISDATE(AW5),AW5+1,"""")"),45976.0)</f>
        <v>45976</v>
      </c>
      <c r="AY5" s="18">
        <f>IFERROR(__xludf.DUMMYFUNCTION("IF(ISDATE(AX5),AX5+1,"""")"),45977.0)</f>
        <v>45977</v>
      </c>
      <c r="AZ5" s="18">
        <f>IFERROR(__xludf.DUMMYFUNCTION("IF(ISDATE(AY5),AY5+1,"""")"),45978.0)</f>
        <v>45978</v>
      </c>
      <c r="BA5" s="18">
        <f>IFERROR(__xludf.DUMMYFUNCTION("IF(ISDATE(AZ5),AZ5+1,"""")"),45979.0)</f>
        <v>45979</v>
      </c>
      <c r="BB5" s="18">
        <f>IFERROR(__xludf.DUMMYFUNCTION("IF(ISDATE(BA5),BA5+1,"""")"),45980.0)</f>
        <v>45980</v>
      </c>
      <c r="BC5" s="18">
        <f>IFERROR(__xludf.DUMMYFUNCTION("IF(ISDATE(BB5),BB5+1,"""")"),45981.0)</f>
        <v>45981</v>
      </c>
      <c r="BD5" s="18">
        <f>IFERROR(__xludf.DUMMYFUNCTION("IF(ISDATE(BC5),BC5+1,"""")"),45982.0)</f>
        <v>45982</v>
      </c>
      <c r="BE5" s="18">
        <f>IFERROR(__xludf.DUMMYFUNCTION("IF(ISDATE(BD5),BD5+1,"""")"),45983.0)</f>
        <v>45983</v>
      </c>
      <c r="BF5" s="18">
        <f>IFERROR(__xludf.DUMMYFUNCTION("IF(ISDATE(BE5),BE5+1,"""")"),45984.0)</f>
        <v>45984</v>
      </c>
      <c r="BG5" s="18">
        <f>IFERROR(__xludf.DUMMYFUNCTION("IF(ISDATE(BF5),BF5+1,"""")"),45985.0)</f>
        <v>45985</v>
      </c>
      <c r="BH5" s="18">
        <f>IFERROR(__xludf.DUMMYFUNCTION("IF(ISDATE(BG5),BG5+1,"""")"),45986.0)</f>
        <v>45986</v>
      </c>
      <c r="BI5" s="18">
        <f>IFERROR(__xludf.DUMMYFUNCTION("IF(ISDATE(BH5),BH5+1,"""")"),45987.0)</f>
        <v>45987</v>
      </c>
      <c r="BJ5" s="18">
        <f>IFERROR(__xludf.DUMMYFUNCTION("IF(ISDATE(BI5),BI5+1,"""")"),45988.0)</f>
        <v>45988</v>
      </c>
      <c r="BK5" s="18">
        <f>IFERROR(__xludf.DUMMYFUNCTION("IF(ISDATE(BJ5),BJ5+1,"""")"),45989.0)</f>
        <v>45989</v>
      </c>
      <c r="BL5" s="18">
        <f>IFERROR(__xludf.DUMMYFUNCTION("IF(ISDATE(BK5),BK5+1,"""")"),45990.0)</f>
        <v>45990</v>
      </c>
      <c r="BM5" s="18">
        <f>IFERROR(__xludf.DUMMYFUNCTION("IF(ISDATE(BL5),BL5+1,"""")"),45991.0)</f>
        <v>45991</v>
      </c>
      <c r="BN5" s="18">
        <f>IFERROR(__xludf.DUMMYFUNCTION("IF(ISDATE(BM5),BM5+1,"""")"),45992.0)</f>
        <v>45992</v>
      </c>
      <c r="BO5" s="18">
        <f>IFERROR(__xludf.DUMMYFUNCTION("IF(ISDATE(BN5),BN5+1,"""")"),45993.0)</f>
        <v>45993</v>
      </c>
      <c r="BP5" s="19">
        <f>IFERROR(__xludf.DUMMYFUNCTION("IF(ISDATE(BO5),BO5+1,"""")"),45994.0)</f>
        <v>45994</v>
      </c>
    </row>
    <row r="6">
      <c r="A6" s="20">
        <v>1.0</v>
      </c>
      <c r="B6" s="21" t="s">
        <v>16</v>
      </c>
      <c r="C6" s="22">
        <v>1.0</v>
      </c>
      <c r="D6" s="23">
        <v>45939.0</v>
      </c>
      <c r="E6" s="24">
        <f>IFERROR(__xludf.DUMMYFUNCTION("IF(AND(ISNUMBER(C6),ISDATE(D6)),D6+C6-1,"""")"),45939.0)</f>
        <v>45939</v>
      </c>
      <c r="F6" s="22">
        <v>2.0</v>
      </c>
      <c r="G6" s="22" t="s">
        <v>17</v>
      </c>
      <c r="H6" s="22" t="s">
        <v>18</v>
      </c>
      <c r="I6" s="22">
        <v>5.0</v>
      </c>
      <c r="J6" s="22"/>
      <c r="K6" s="23">
        <v>45939.0</v>
      </c>
      <c r="L6" s="25">
        <v>45939.0</v>
      </c>
      <c r="M6" s="26"/>
      <c r="N6" s="27"/>
      <c r="O6" s="27"/>
      <c r="P6" s="28"/>
      <c r="Q6" s="27"/>
      <c r="R6" s="27"/>
      <c r="S6" s="27"/>
      <c r="T6" s="29"/>
      <c r="U6" s="30"/>
      <c r="V6" s="30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2"/>
    </row>
    <row r="7">
      <c r="A7" s="33">
        <v>2.0</v>
      </c>
      <c r="B7" s="34" t="s">
        <v>19</v>
      </c>
      <c r="C7" s="35">
        <v>1.0</v>
      </c>
      <c r="D7" s="36">
        <v>45939.0</v>
      </c>
      <c r="E7" s="24">
        <f>IFERROR(__xludf.DUMMYFUNCTION("IF(AND(ISNUMBER(C7),ISDATE(D7)),D7+C7-1,"""")"),45939.0)</f>
        <v>45939</v>
      </c>
      <c r="F7" s="35">
        <v>1.0</v>
      </c>
      <c r="G7" s="35" t="s">
        <v>17</v>
      </c>
      <c r="H7" s="35" t="s">
        <v>20</v>
      </c>
      <c r="I7" s="35">
        <v>5.0</v>
      </c>
      <c r="J7" s="35"/>
      <c r="K7" s="36">
        <v>45939.0</v>
      </c>
      <c r="L7" s="25">
        <v>45939.0</v>
      </c>
      <c r="M7" s="26"/>
      <c r="N7" s="27"/>
      <c r="O7" s="28"/>
      <c r="P7" s="28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37"/>
    </row>
    <row r="8">
      <c r="A8" s="38">
        <v>3.0</v>
      </c>
      <c r="B8" s="39" t="s">
        <v>21</v>
      </c>
      <c r="C8" s="40">
        <v>1.0</v>
      </c>
      <c r="D8" s="41">
        <v>45939.0</v>
      </c>
      <c r="E8" s="24">
        <f>IFERROR(__xludf.DUMMYFUNCTION("IF(AND(ISNUMBER(C8),ISDATE(D8)),D8+C8-1,"""")"),45939.0)</f>
        <v>45939</v>
      </c>
      <c r="F8" s="40">
        <v>0.0</v>
      </c>
      <c r="G8" s="40" t="s">
        <v>17</v>
      </c>
      <c r="H8" s="40" t="s">
        <v>22</v>
      </c>
      <c r="I8" s="40">
        <v>5.0</v>
      </c>
      <c r="J8" s="27"/>
      <c r="K8" s="41">
        <v>45939.0</v>
      </c>
      <c r="L8" s="25">
        <v>45939.0</v>
      </c>
      <c r="M8" s="42"/>
      <c r="N8" s="27"/>
      <c r="O8" s="28"/>
      <c r="P8" s="28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37"/>
    </row>
    <row r="9">
      <c r="A9" s="33">
        <v>4.0</v>
      </c>
      <c r="B9" s="34" t="s">
        <v>23</v>
      </c>
      <c r="C9" s="35">
        <v>4.0</v>
      </c>
      <c r="D9" s="36">
        <v>45943.0</v>
      </c>
      <c r="E9" s="43">
        <f>IFERROR(__xludf.DUMMYFUNCTION("IF(AND(ISNUMBER(C9),ISDATE(D9)),D9+C9-1,"""")"),45946.0)</f>
        <v>45946</v>
      </c>
      <c r="F9" s="35">
        <v>1.0</v>
      </c>
      <c r="G9" s="35" t="s">
        <v>24</v>
      </c>
      <c r="H9" s="35" t="s">
        <v>18</v>
      </c>
      <c r="I9" s="35">
        <v>5.0</v>
      </c>
      <c r="J9" s="44"/>
      <c r="K9" s="36">
        <v>45943.0</v>
      </c>
      <c r="L9" s="45"/>
      <c r="M9" s="46"/>
      <c r="N9" s="27"/>
      <c r="O9" s="28"/>
      <c r="P9" s="28"/>
      <c r="Q9" s="26"/>
      <c r="R9" s="26"/>
      <c r="S9" s="26"/>
      <c r="T9" s="26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37"/>
    </row>
    <row r="10">
      <c r="A10" s="38">
        <v>5.0</v>
      </c>
      <c r="B10" s="39" t="s">
        <v>25</v>
      </c>
      <c r="C10" s="40">
        <v>4.0</v>
      </c>
      <c r="D10" s="41">
        <v>45943.0</v>
      </c>
      <c r="E10" s="24">
        <f>IFERROR(__xludf.DUMMYFUNCTION("IF(AND(ISNUMBER(C10),ISDATE(D10)),D10+C10-1,"""")"),45946.0)</f>
        <v>45946</v>
      </c>
      <c r="F10" s="40">
        <v>1.0</v>
      </c>
      <c r="G10" s="40" t="s">
        <v>24</v>
      </c>
      <c r="H10" s="40" t="s">
        <v>22</v>
      </c>
      <c r="I10" s="40">
        <v>5.0</v>
      </c>
      <c r="J10" s="27"/>
      <c r="K10" s="41">
        <v>45943.0</v>
      </c>
      <c r="L10" s="47"/>
      <c r="M10" s="46"/>
      <c r="N10" s="27"/>
      <c r="O10" s="28"/>
      <c r="P10" s="28"/>
      <c r="Q10" s="26"/>
      <c r="R10" s="26"/>
      <c r="S10" s="26"/>
      <c r="T10" s="26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37"/>
    </row>
    <row r="11">
      <c r="A11" s="33">
        <v>6.0</v>
      </c>
      <c r="B11" s="34" t="s">
        <v>26</v>
      </c>
      <c r="C11" s="35">
        <v>4.0</v>
      </c>
      <c r="D11" s="36">
        <v>45943.0</v>
      </c>
      <c r="E11" s="43">
        <f>IFERROR(__xludf.DUMMYFUNCTION("IF(AND(ISNUMBER(C11),ISDATE(D11)),D11+C11-1,"""")"),45946.0)</f>
        <v>45946</v>
      </c>
      <c r="F11" s="35">
        <v>1.0</v>
      </c>
      <c r="G11" s="35" t="s">
        <v>24</v>
      </c>
      <c r="H11" s="35" t="s">
        <v>20</v>
      </c>
      <c r="I11" s="35">
        <v>5.0</v>
      </c>
      <c r="J11" s="44"/>
      <c r="K11" s="36">
        <v>45943.0</v>
      </c>
      <c r="L11" s="45"/>
      <c r="M11" s="46"/>
      <c r="N11" s="27"/>
      <c r="O11" s="28"/>
      <c r="P11" s="28"/>
      <c r="Q11" s="26"/>
      <c r="R11" s="26"/>
      <c r="S11" s="26"/>
      <c r="T11" s="26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37"/>
    </row>
    <row r="12">
      <c r="A12" s="38">
        <v>7.0</v>
      </c>
      <c r="B12" s="48" t="s">
        <v>27</v>
      </c>
      <c r="C12" s="40"/>
      <c r="D12" s="41"/>
      <c r="E12" s="24" t="str">
        <f>IFERROR(__xludf.DUMMYFUNCTION("IF(AND(ISNUMBER(C12),ISDATE(D12)),D12+C12-1,"""")"),"")</f>
        <v/>
      </c>
      <c r="F12" s="27"/>
      <c r="G12" s="40" t="s">
        <v>28</v>
      </c>
      <c r="H12" s="40" t="s">
        <v>20</v>
      </c>
      <c r="I12" s="40">
        <v>5.0</v>
      </c>
      <c r="J12" s="27"/>
      <c r="K12" s="41"/>
      <c r="L12" s="47"/>
      <c r="M12" s="46"/>
      <c r="N12" s="27"/>
      <c r="O12" s="28"/>
      <c r="P12" s="28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37"/>
    </row>
    <row r="13">
      <c r="A13" s="33">
        <v>8.0</v>
      </c>
      <c r="B13" s="49" t="s">
        <v>29</v>
      </c>
      <c r="C13" s="35"/>
      <c r="D13" s="36"/>
      <c r="E13" s="43" t="str">
        <f>IFERROR(__xludf.DUMMYFUNCTION("IF(AND(ISNUMBER(C13),ISDATE(D13)),D13+C13-1,"""")"),"")</f>
        <v/>
      </c>
      <c r="F13" s="44"/>
      <c r="G13" s="35" t="s">
        <v>28</v>
      </c>
      <c r="H13" s="35" t="s">
        <v>18</v>
      </c>
      <c r="I13" s="35">
        <v>5.0</v>
      </c>
      <c r="J13" s="44"/>
      <c r="K13" s="50"/>
      <c r="L13" s="45"/>
      <c r="M13" s="46"/>
      <c r="N13" s="27"/>
      <c r="O13" s="28"/>
      <c r="P13" s="28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37"/>
    </row>
    <row r="14">
      <c r="A14" s="38">
        <v>9.0</v>
      </c>
      <c r="B14" s="51" t="s">
        <v>30</v>
      </c>
      <c r="C14" s="40"/>
      <c r="D14" s="41"/>
      <c r="E14" s="24" t="str">
        <f>IFERROR(__xludf.DUMMYFUNCTION("IF(AND(ISNUMBER(C14),ISDATE(D14)),D14+C14-1,"""")"),"")</f>
        <v/>
      </c>
      <c r="F14" s="27"/>
      <c r="G14" s="40" t="s">
        <v>28</v>
      </c>
      <c r="H14" s="40" t="s">
        <v>22</v>
      </c>
      <c r="I14" s="40">
        <v>4.0</v>
      </c>
      <c r="J14" s="27"/>
      <c r="K14" s="41"/>
      <c r="L14" s="47"/>
      <c r="M14" s="46"/>
      <c r="N14" s="27"/>
      <c r="O14" s="28"/>
      <c r="P14" s="28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37"/>
    </row>
    <row r="15">
      <c r="A15" s="33">
        <v>10.0</v>
      </c>
      <c r="B15" s="52" t="s">
        <v>31</v>
      </c>
      <c r="C15" s="35"/>
      <c r="D15" s="36"/>
      <c r="E15" s="43" t="str">
        <f>IFERROR(__xludf.DUMMYFUNCTION("IF(AND(ISNUMBER(C15),ISDATE(D15)),D15+C15-1,"""")"),"")</f>
        <v/>
      </c>
      <c r="F15" s="44"/>
      <c r="G15" s="35" t="s">
        <v>28</v>
      </c>
      <c r="H15" s="35" t="s">
        <v>22</v>
      </c>
      <c r="I15" s="35">
        <v>3.0</v>
      </c>
      <c r="J15" s="44"/>
      <c r="K15" s="50"/>
      <c r="L15" s="45"/>
      <c r="M15" s="46"/>
      <c r="N15" s="27"/>
      <c r="O15" s="28"/>
      <c r="P15" s="28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37"/>
    </row>
    <row r="16">
      <c r="A16" s="38">
        <v>11.0</v>
      </c>
      <c r="B16" s="51" t="s">
        <v>32</v>
      </c>
      <c r="C16" s="40"/>
      <c r="D16" s="41"/>
      <c r="E16" s="24" t="str">
        <f>IFERROR(__xludf.DUMMYFUNCTION("IF(AND(ISNUMBER(C16),ISDATE(D16)),D16+C16-1,"""")"),"")</f>
        <v/>
      </c>
      <c r="F16" s="27"/>
      <c r="G16" s="40" t="s">
        <v>28</v>
      </c>
      <c r="H16" s="40" t="s">
        <v>20</v>
      </c>
      <c r="I16" s="40">
        <v>4.0</v>
      </c>
      <c r="J16" s="27"/>
      <c r="K16" s="41"/>
      <c r="L16" s="47"/>
      <c r="M16" s="46"/>
      <c r="N16" s="27"/>
      <c r="O16" s="28"/>
      <c r="P16" s="28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37"/>
    </row>
    <row r="17">
      <c r="A17" s="33">
        <v>12.0</v>
      </c>
      <c r="B17" s="52" t="s">
        <v>33</v>
      </c>
      <c r="C17" s="35"/>
      <c r="D17" s="36"/>
      <c r="E17" s="43" t="str">
        <f>IFERROR(__xludf.DUMMYFUNCTION("IF(AND(ISNUMBER(C17),ISDATE(D17)),D17+C17-1,"""")"),"")</f>
        <v/>
      </c>
      <c r="F17" s="44"/>
      <c r="G17" s="35" t="s">
        <v>28</v>
      </c>
      <c r="H17" s="35" t="s">
        <v>22</v>
      </c>
      <c r="I17" s="35">
        <v>3.0</v>
      </c>
      <c r="J17" s="44"/>
      <c r="K17" s="50"/>
      <c r="L17" s="45"/>
      <c r="M17" s="46"/>
      <c r="N17" s="27"/>
      <c r="O17" s="28"/>
      <c r="P17" s="28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37"/>
    </row>
    <row r="18">
      <c r="A18" s="38">
        <v>13.0</v>
      </c>
      <c r="B18" s="51" t="s">
        <v>34</v>
      </c>
      <c r="C18" s="40"/>
      <c r="D18" s="41"/>
      <c r="E18" s="24" t="str">
        <f>IFERROR(__xludf.DUMMYFUNCTION("IF(AND(ISNUMBER(C18),ISDATE(D18)),D18+C18-1,"""")"),"")</f>
        <v/>
      </c>
      <c r="F18" s="27"/>
      <c r="G18" s="40" t="s">
        <v>28</v>
      </c>
      <c r="H18" s="40" t="s">
        <v>18</v>
      </c>
      <c r="I18" s="40">
        <v>3.0</v>
      </c>
      <c r="J18" s="27"/>
      <c r="K18" s="41"/>
      <c r="L18" s="47"/>
      <c r="M18" s="46"/>
      <c r="N18" s="27"/>
      <c r="O18" s="28"/>
      <c r="P18" s="28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37"/>
    </row>
    <row r="19">
      <c r="A19" s="33">
        <v>14.0</v>
      </c>
      <c r="B19" s="52" t="s">
        <v>35</v>
      </c>
      <c r="C19" s="35"/>
      <c r="D19" s="36"/>
      <c r="E19" s="43" t="str">
        <f>IFERROR(__xludf.DUMMYFUNCTION("IF(AND(ISNUMBER(C19),ISDATE(D19)),D19+C19-1,"""")"),"")</f>
        <v/>
      </c>
      <c r="F19" s="44"/>
      <c r="G19" s="35" t="s">
        <v>28</v>
      </c>
      <c r="H19" s="35" t="s">
        <v>22</v>
      </c>
      <c r="I19" s="35">
        <v>4.0</v>
      </c>
      <c r="J19" s="44"/>
      <c r="K19" s="50"/>
      <c r="L19" s="45"/>
      <c r="M19" s="46"/>
      <c r="N19" s="27"/>
      <c r="O19" s="28"/>
      <c r="P19" s="28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37"/>
    </row>
    <row r="20">
      <c r="A20" s="38">
        <v>15.0</v>
      </c>
      <c r="B20" s="51" t="s">
        <v>36</v>
      </c>
      <c r="C20" s="40"/>
      <c r="D20" s="41"/>
      <c r="E20" s="24" t="str">
        <f>IFERROR(__xludf.DUMMYFUNCTION("IF(AND(ISNUMBER(C20),ISDATE(D20)),D20+C20-1,"""")"),"")</f>
        <v/>
      </c>
      <c r="F20" s="27"/>
      <c r="G20" s="40" t="s">
        <v>28</v>
      </c>
      <c r="H20" s="40" t="s">
        <v>18</v>
      </c>
      <c r="I20" s="40">
        <v>4.0</v>
      </c>
      <c r="J20" s="27"/>
      <c r="K20" s="41"/>
      <c r="L20" s="47"/>
      <c r="M20" s="46"/>
      <c r="N20" s="27"/>
      <c r="O20" s="28"/>
      <c r="P20" s="28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37"/>
    </row>
    <row r="21">
      <c r="A21" s="33">
        <v>16.0</v>
      </c>
      <c r="B21" s="52" t="s">
        <v>37</v>
      </c>
      <c r="C21" s="35"/>
      <c r="D21" s="36"/>
      <c r="E21" s="43" t="str">
        <f>IFERROR(__xludf.DUMMYFUNCTION("IF(AND(ISNUMBER(C21),ISDATE(D21)),D21+C21-1,"""")"),"")</f>
        <v/>
      </c>
      <c r="F21" s="44"/>
      <c r="G21" s="35" t="s">
        <v>28</v>
      </c>
      <c r="H21" s="35" t="s">
        <v>18</v>
      </c>
      <c r="I21" s="35">
        <v>5.0</v>
      </c>
      <c r="J21" s="44"/>
      <c r="K21" s="50"/>
      <c r="L21" s="45"/>
      <c r="M21" s="46"/>
      <c r="N21" s="27"/>
      <c r="O21" s="28"/>
      <c r="P21" s="28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37"/>
    </row>
    <row r="22">
      <c r="A22" s="38">
        <v>17.0</v>
      </c>
      <c r="B22" s="46"/>
      <c r="C22" s="40"/>
      <c r="D22" s="41"/>
      <c r="E22" s="43" t="str">
        <f>IFERROR(__xludf.DUMMYFUNCTION("IF(AND(ISNUMBER(C22),ISDATE(D22)),D22+C22-1,"""")"),"")</f>
        <v/>
      </c>
      <c r="F22" s="27"/>
      <c r="G22" s="40"/>
      <c r="H22" s="27"/>
      <c r="I22" s="27"/>
      <c r="J22" s="27"/>
      <c r="K22" s="41"/>
      <c r="L22" s="47"/>
      <c r="M22" s="46"/>
      <c r="N22" s="27"/>
      <c r="O22" s="28"/>
      <c r="P22" s="28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37"/>
    </row>
    <row r="23">
      <c r="A23" s="38">
        <v>18.0</v>
      </c>
      <c r="B23" s="53"/>
      <c r="C23" s="35"/>
      <c r="D23" s="36"/>
      <c r="E23" s="43" t="str">
        <f>IFERROR(__xludf.DUMMYFUNCTION("IF(AND(ISNUMBER(C23),ISDATE(D23)),D23+C23-1,"""")"),"")</f>
        <v/>
      </c>
      <c r="F23" s="44"/>
      <c r="G23" s="35"/>
      <c r="H23" s="44"/>
      <c r="I23" s="44"/>
      <c r="J23" s="44"/>
      <c r="K23" s="50"/>
      <c r="L23" s="45"/>
      <c r="M23" s="46"/>
      <c r="N23" s="27"/>
      <c r="O23" s="28"/>
      <c r="P23" s="28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37"/>
    </row>
    <row r="24">
      <c r="A24" s="38">
        <v>19.0</v>
      </c>
      <c r="B24" s="53"/>
      <c r="C24" s="35"/>
      <c r="D24" s="36"/>
      <c r="E24" s="43" t="str">
        <f>IFERROR(__xludf.DUMMYFUNCTION("IF(AND(ISNUMBER(C24),ISDATE(D24)),D24+C24-1,"""")"),"")</f>
        <v/>
      </c>
      <c r="F24" s="44"/>
      <c r="G24" s="35"/>
      <c r="H24" s="44"/>
      <c r="I24" s="44"/>
      <c r="J24" s="44"/>
      <c r="K24" s="50"/>
      <c r="L24" s="45"/>
      <c r="M24" s="46"/>
      <c r="N24" s="27"/>
      <c r="O24" s="28"/>
      <c r="P24" s="28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37"/>
    </row>
    <row r="25">
      <c r="A25" s="38">
        <v>20.0</v>
      </c>
      <c r="B25" s="53"/>
      <c r="C25" s="35"/>
      <c r="D25" s="36"/>
      <c r="E25" s="43" t="str">
        <f>IFERROR(__xludf.DUMMYFUNCTION("IF(AND(ISNUMBER(C25),ISDATE(D25)),D25+C25-1,"""")"),"")</f>
        <v/>
      </c>
      <c r="F25" s="44"/>
      <c r="G25" s="35"/>
      <c r="H25" s="44"/>
      <c r="I25" s="44"/>
      <c r="J25" s="44"/>
      <c r="K25" s="50"/>
      <c r="L25" s="45"/>
      <c r="M25" s="46"/>
      <c r="N25" s="27"/>
      <c r="O25" s="28"/>
      <c r="P25" s="28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37"/>
    </row>
    <row r="26">
      <c r="A26" s="38">
        <v>21.0</v>
      </c>
      <c r="B26" s="53"/>
      <c r="C26" s="35"/>
      <c r="D26" s="36"/>
      <c r="E26" s="43" t="str">
        <f>IFERROR(__xludf.DUMMYFUNCTION("IF(AND(ISNUMBER(C26),ISDATE(D26)),D26+C26-1,"""")"),"")</f>
        <v/>
      </c>
      <c r="F26" s="44"/>
      <c r="G26" s="35"/>
      <c r="H26" s="44"/>
      <c r="I26" s="44"/>
      <c r="J26" s="44"/>
      <c r="K26" s="50"/>
      <c r="L26" s="45"/>
      <c r="M26" s="46"/>
      <c r="N26" s="27"/>
      <c r="O26" s="28"/>
      <c r="P26" s="28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37"/>
    </row>
    <row r="27">
      <c r="A27" s="38">
        <v>22.0</v>
      </c>
      <c r="B27" s="53"/>
      <c r="C27" s="35"/>
      <c r="D27" s="36"/>
      <c r="E27" s="43" t="str">
        <f>IFERROR(__xludf.DUMMYFUNCTION("IF(AND(ISNUMBER(C27),ISDATE(D27)),D27+C27-1,"""")"),"")</f>
        <v/>
      </c>
      <c r="F27" s="44"/>
      <c r="G27" s="35"/>
      <c r="H27" s="44"/>
      <c r="I27" s="44"/>
      <c r="J27" s="44"/>
      <c r="K27" s="50"/>
      <c r="L27" s="45"/>
      <c r="M27" s="46"/>
      <c r="N27" s="27"/>
      <c r="O27" s="28"/>
      <c r="P27" s="28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37"/>
    </row>
    <row r="28">
      <c r="A28" s="38">
        <v>23.0</v>
      </c>
      <c r="B28" s="53"/>
      <c r="C28" s="35"/>
      <c r="D28" s="36"/>
      <c r="E28" s="43" t="str">
        <f>IFERROR(__xludf.DUMMYFUNCTION("IF(AND(ISNUMBER(C28),ISDATE(D28)),D28+C28-1,"""")"),"")</f>
        <v/>
      </c>
      <c r="F28" s="44"/>
      <c r="G28" s="35"/>
      <c r="H28" s="44"/>
      <c r="I28" s="44"/>
      <c r="J28" s="44"/>
      <c r="K28" s="50"/>
      <c r="L28" s="45"/>
      <c r="M28" s="46"/>
      <c r="N28" s="27"/>
      <c r="O28" s="28"/>
      <c r="P28" s="28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37"/>
    </row>
    <row r="29">
      <c r="A29" s="38">
        <v>24.0</v>
      </c>
      <c r="B29" s="53"/>
      <c r="C29" s="35"/>
      <c r="D29" s="36"/>
      <c r="E29" s="43" t="str">
        <f>IFERROR(__xludf.DUMMYFUNCTION("IF(AND(ISNUMBER(C29),ISDATE(D29)),D29+C29-1,"""")"),"")</f>
        <v/>
      </c>
      <c r="F29" s="44"/>
      <c r="G29" s="35"/>
      <c r="H29" s="44"/>
      <c r="I29" s="44"/>
      <c r="J29" s="44"/>
      <c r="K29" s="50"/>
      <c r="L29" s="45"/>
      <c r="M29" s="46"/>
      <c r="N29" s="27"/>
      <c r="O29" s="28"/>
      <c r="P29" s="28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37"/>
    </row>
    <row r="30">
      <c r="A30" s="38">
        <v>25.0</v>
      </c>
      <c r="B30" s="53"/>
      <c r="C30" s="35"/>
      <c r="D30" s="36"/>
      <c r="E30" s="43" t="str">
        <f>IFERROR(__xludf.DUMMYFUNCTION("IF(AND(ISNUMBER(C30),ISDATE(D30)),D30+C30-1,"""")"),"")</f>
        <v/>
      </c>
      <c r="F30" s="44"/>
      <c r="G30" s="35"/>
      <c r="H30" s="44"/>
      <c r="I30" s="44"/>
      <c r="J30" s="44"/>
      <c r="K30" s="50"/>
      <c r="L30" s="45"/>
      <c r="M30" s="46"/>
      <c r="N30" s="27"/>
      <c r="O30" s="28"/>
      <c r="P30" s="28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37"/>
    </row>
    <row r="31">
      <c r="A31" s="38">
        <v>26.0</v>
      </c>
      <c r="B31" s="53"/>
      <c r="C31" s="35"/>
      <c r="D31" s="36"/>
      <c r="E31" s="43" t="str">
        <f>IFERROR(__xludf.DUMMYFUNCTION("IF(AND(ISNUMBER(C31),ISDATE(D31)),D31+C31-1,"""")"),"")</f>
        <v/>
      </c>
      <c r="F31" s="44"/>
      <c r="G31" s="35"/>
      <c r="H31" s="44"/>
      <c r="I31" s="44"/>
      <c r="J31" s="44"/>
      <c r="K31" s="50"/>
      <c r="L31" s="45"/>
      <c r="M31" s="46"/>
      <c r="N31" s="27"/>
      <c r="O31" s="28"/>
      <c r="P31" s="28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37"/>
    </row>
    <row r="32">
      <c r="A32" s="38">
        <v>27.0</v>
      </c>
      <c r="B32" s="53"/>
      <c r="C32" s="35"/>
      <c r="D32" s="36"/>
      <c r="E32" s="43" t="str">
        <f>IFERROR(__xludf.DUMMYFUNCTION("IF(AND(ISNUMBER(C32),ISDATE(D32)),D32+C32-1,"""")"),"")</f>
        <v/>
      </c>
      <c r="F32" s="44"/>
      <c r="G32" s="35"/>
      <c r="H32" s="44"/>
      <c r="I32" s="44"/>
      <c r="J32" s="44"/>
      <c r="K32" s="50"/>
      <c r="L32" s="45"/>
      <c r="M32" s="46"/>
      <c r="N32" s="27"/>
      <c r="O32" s="28"/>
      <c r="P32" s="28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37"/>
    </row>
    <row r="33">
      <c r="A33" s="38">
        <v>28.0</v>
      </c>
      <c r="B33" s="53"/>
      <c r="C33" s="35"/>
      <c r="D33" s="36"/>
      <c r="E33" s="43" t="str">
        <f>IFERROR(__xludf.DUMMYFUNCTION("IF(AND(ISNUMBER(C33),ISDATE(D33)),D33+C33-1,"""")"),"")</f>
        <v/>
      </c>
      <c r="F33" s="44"/>
      <c r="G33" s="35"/>
      <c r="H33" s="44"/>
      <c r="I33" s="44"/>
      <c r="J33" s="44"/>
      <c r="K33" s="50"/>
      <c r="L33" s="45"/>
      <c r="M33" s="46"/>
      <c r="N33" s="27"/>
      <c r="O33" s="28"/>
      <c r="P33" s="28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37"/>
    </row>
    <row r="34">
      <c r="A34" s="38">
        <v>29.0</v>
      </c>
      <c r="B34" s="53"/>
      <c r="C34" s="35"/>
      <c r="D34" s="36"/>
      <c r="E34" s="43" t="str">
        <f>IFERROR(__xludf.DUMMYFUNCTION("IF(AND(ISNUMBER(C34),ISDATE(D34)),D34+C34-1,"""")"),"")</f>
        <v/>
      </c>
      <c r="F34" s="44"/>
      <c r="G34" s="35"/>
      <c r="H34" s="44"/>
      <c r="I34" s="44"/>
      <c r="J34" s="44"/>
      <c r="K34" s="50"/>
      <c r="L34" s="45"/>
      <c r="M34" s="46"/>
      <c r="N34" s="27"/>
      <c r="O34" s="28"/>
      <c r="P34" s="28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37"/>
    </row>
    <row r="35">
      <c r="A35" s="38">
        <v>30.0</v>
      </c>
      <c r="B35" s="53"/>
      <c r="C35" s="35"/>
      <c r="D35" s="36"/>
      <c r="E35" s="43" t="str">
        <f>IFERROR(__xludf.DUMMYFUNCTION("IF(AND(ISNUMBER(C35),ISDATE(D35)),D35+C35-1,"""")"),"")</f>
        <v/>
      </c>
      <c r="F35" s="44"/>
      <c r="G35" s="35"/>
      <c r="H35" s="44"/>
      <c r="I35" s="44"/>
      <c r="J35" s="44"/>
      <c r="K35" s="50"/>
      <c r="L35" s="45"/>
      <c r="M35" s="46"/>
      <c r="N35" s="27"/>
      <c r="O35" s="28"/>
      <c r="P35" s="28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37"/>
    </row>
    <row r="36">
      <c r="A36" s="38">
        <v>31.0</v>
      </c>
      <c r="B36" s="53"/>
      <c r="C36" s="35"/>
      <c r="D36" s="36"/>
      <c r="E36" s="43" t="str">
        <f>IFERROR(__xludf.DUMMYFUNCTION("IF(AND(ISNUMBER(C36),ISDATE(D36)),D36+C36-1,"""")"),"")</f>
        <v/>
      </c>
      <c r="F36" s="44"/>
      <c r="G36" s="35"/>
      <c r="H36" s="44"/>
      <c r="I36" s="44"/>
      <c r="J36" s="44"/>
      <c r="K36" s="50"/>
      <c r="L36" s="45"/>
      <c r="M36" s="46"/>
      <c r="N36" s="27"/>
      <c r="O36" s="28"/>
      <c r="P36" s="28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37"/>
    </row>
    <row r="37">
      <c r="A37" s="38">
        <v>32.0</v>
      </c>
      <c r="B37" s="53"/>
      <c r="C37" s="35"/>
      <c r="D37" s="36"/>
      <c r="E37" s="43" t="str">
        <f>IFERROR(__xludf.DUMMYFUNCTION("IF(AND(ISNUMBER(C37),ISDATE(D37)),D37+C37-1,"""")"),"")</f>
        <v/>
      </c>
      <c r="F37" s="44"/>
      <c r="G37" s="35"/>
      <c r="H37" s="44"/>
      <c r="I37" s="44"/>
      <c r="J37" s="44"/>
      <c r="K37" s="50"/>
      <c r="L37" s="45"/>
      <c r="M37" s="46"/>
      <c r="N37" s="27"/>
      <c r="O37" s="28"/>
      <c r="P37" s="28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37"/>
    </row>
    <row r="38">
      <c r="A38" s="38">
        <v>33.0</v>
      </c>
      <c r="B38" s="53"/>
      <c r="C38" s="35"/>
      <c r="D38" s="36"/>
      <c r="E38" s="43" t="str">
        <f>IFERROR(__xludf.DUMMYFUNCTION("IF(AND(ISNUMBER(C38),ISDATE(D38)),D38+C38-1,"""")"),"")</f>
        <v/>
      </c>
      <c r="F38" s="44"/>
      <c r="G38" s="35"/>
      <c r="H38" s="44"/>
      <c r="I38" s="44"/>
      <c r="J38" s="44"/>
      <c r="K38" s="50"/>
      <c r="L38" s="45"/>
      <c r="M38" s="46"/>
      <c r="N38" s="27"/>
      <c r="O38" s="28"/>
      <c r="P38" s="28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37"/>
    </row>
    <row r="39">
      <c r="A39" s="38">
        <v>34.0</v>
      </c>
      <c r="B39" s="53"/>
      <c r="C39" s="35"/>
      <c r="D39" s="36"/>
      <c r="E39" s="43" t="str">
        <f>IFERROR(__xludf.DUMMYFUNCTION("IF(AND(ISNUMBER(C39),ISDATE(D39)),D39+C39-1,"""")"),"")</f>
        <v/>
      </c>
      <c r="F39" s="44"/>
      <c r="G39" s="35"/>
      <c r="H39" s="44"/>
      <c r="I39" s="44"/>
      <c r="J39" s="44"/>
      <c r="K39" s="50"/>
      <c r="L39" s="45"/>
      <c r="M39" s="46"/>
      <c r="N39" s="27"/>
      <c r="O39" s="28"/>
      <c r="P39" s="28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37"/>
    </row>
    <row r="40">
      <c r="A40" s="38">
        <v>35.0</v>
      </c>
      <c r="B40" s="53"/>
      <c r="C40" s="35"/>
      <c r="D40" s="36"/>
      <c r="E40" s="43" t="str">
        <f>IFERROR(__xludf.DUMMYFUNCTION("IF(AND(ISNUMBER(C40),ISDATE(D40)),D40+C40-1,"""")"),"")</f>
        <v/>
      </c>
      <c r="F40" s="44"/>
      <c r="G40" s="35"/>
      <c r="H40" s="44"/>
      <c r="I40" s="44"/>
      <c r="J40" s="44"/>
      <c r="K40" s="50"/>
      <c r="L40" s="45"/>
      <c r="M40" s="46"/>
      <c r="N40" s="27"/>
      <c r="O40" s="28"/>
      <c r="P40" s="28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37"/>
    </row>
    <row r="41">
      <c r="A41" s="38">
        <v>36.0</v>
      </c>
      <c r="B41" s="53"/>
      <c r="C41" s="35"/>
      <c r="D41" s="36"/>
      <c r="E41" s="43" t="str">
        <f>IFERROR(__xludf.DUMMYFUNCTION("IF(AND(ISNUMBER(C41),ISDATE(D41)),D41+C41-1,"""")"),"")</f>
        <v/>
      </c>
      <c r="F41" s="44"/>
      <c r="G41" s="35"/>
      <c r="H41" s="44"/>
      <c r="I41" s="44"/>
      <c r="J41" s="44"/>
      <c r="K41" s="50"/>
      <c r="L41" s="45"/>
      <c r="M41" s="46"/>
      <c r="N41" s="27"/>
      <c r="O41" s="28"/>
      <c r="P41" s="28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37"/>
    </row>
    <row r="42">
      <c r="A42" s="38">
        <v>37.0</v>
      </c>
      <c r="B42" s="53"/>
      <c r="C42" s="35"/>
      <c r="D42" s="36"/>
      <c r="E42" s="43" t="str">
        <f>IFERROR(__xludf.DUMMYFUNCTION("IF(AND(ISNUMBER(C42),ISDATE(D42)),D42+C42-1,"""")"),"")</f>
        <v/>
      </c>
      <c r="F42" s="44"/>
      <c r="G42" s="35"/>
      <c r="H42" s="44"/>
      <c r="I42" s="44"/>
      <c r="J42" s="44"/>
      <c r="K42" s="50"/>
      <c r="L42" s="45"/>
      <c r="M42" s="46"/>
      <c r="N42" s="27"/>
      <c r="O42" s="28"/>
      <c r="P42" s="28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37"/>
    </row>
    <row r="43">
      <c r="A43" s="38">
        <v>38.0</v>
      </c>
      <c r="B43" s="53"/>
      <c r="C43" s="35"/>
      <c r="D43" s="36"/>
      <c r="E43" s="43" t="str">
        <f>IFERROR(__xludf.DUMMYFUNCTION("IF(AND(ISNUMBER(C43),ISDATE(D43)),D43+C43-1,"""")"),"")</f>
        <v/>
      </c>
      <c r="F43" s="44"/>
      <c r="G43" s="35"/>
      <c r="H43" s="44"/>
      <c r="I43" s="44"/>
      <c r="J43" s="44"/>
      <c r="K43" s="50"/>
      <c r="L43" s="45"/>
      <c r="M43" s="46"/>
      <c r="N43" s="27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37"/>
    </row>
    <row r="44">
      <c r="A44" s="38">
        <v>39.0</v>
      </c>
      <c r="B44" s="53"/>
      <c r="C44" s="35"/>
      <c r="D44" s="36"/>
      <c r="E44" s="43" t="str">
        <f>IFERROR(__xludf.DUMMYFUNCTION("IF(AND(ISNUMBER(C44),ISDATE(D44)),D44+C44-1,"""")"),"")</f>
        <v/>
      </c>
      <c r="F44" s="44"/>
      <c r="G44" s="35"/>
      <c r="H44" s="44"/>
      <c r="I44" s="44"/>
      <c r="J44" s="44"/>
      <c r="K44" s="50"/>
      <c r="L44" s="45"/>
      <c r="M44" s="46"/>
      <c r="N44" s="27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37"/>
    </row>
    <row r="45">
      <c r="A45" s="38">
        <v>40.0</v>
      </c>
      <c r="B45" s="53"/>
      <c r="C45" s="35"/>
      <c r="D45" s="36"/>
      <c r="E45" s="43" t="str">
        <f>IFERROR(__xludf.DUMMYFUNCTION("IF(AND(ISNUMBER(C45),ISDATE(D45)),D45+C45-1,"""")"),"")</f>
        <v/>
      </c>
      <c r="F45" s="44"/>
      <c r="G45" s="35"/>
      <c r="H45" s="44"/>
      <c r="I45" s="44"/>
      <c r="J45" s="44"/>
      <c r="K45" s="50"/>
      <c r="L45" s="45"/>
      <c r="M45" s="46"/>
      <c r="N45" s="27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37"/>
    </row>
    <row r="46">
      <c r="A46" s="38">
        <v>41.0</v>
      </c>
      <c r="B46" s="53"/>
      <c r="C46" s="35"/>
      <c r="D46" s="36"/>
      <c r="E46" s="43" t="str">
        <f>IFERROR(__xludf.DUMMYFUNCTION("IF(AND(ISNUMBER(C46),ISDATE(D46)),D46+C46-1,"""")"),"")</f>
        <v/>
      </c>
      <c r="F46" s="44"/>
      <c r="G46" s="35"/>
      <c r="H46" s="44"/>
      <c r="I46" s="44"/>
      <c r="J46" s="44"/>
      <c r="K46" s="50"/>
      <c r="L46" s="45"/>
      <c r="M46" s="46"/>
      <c r="N46" s="27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37"/>
    </row>
    <row r="47">
      <c r="A47" s="38">
        <v>42.0</v>
      </c>
      <c r="B47" s="53"/>
      <c r="C47" s="35"/>
      <c r="D47" s="36"/>
      <c r="E47" s="43" t="str">
        <f>IFERROR(__xludf.DUMMYFUNCTION("IF(AND(ISNUMBER(C47),ISDATE(D47)),D47+C47-1,"""")"),"")</f>
        <v/>
      </c>
      <c r="F47" s="44"/>
      <c r="G47" s="35"/>
      <c r="H47" s="44"/>
      <c r="I47" s="44"/>
      <c r="J47" s="44"/>
      <c r="K47" s="50"/>
      <c r="L47" s="45"/>
      <c r="M47" s="46"/>
      <c r="N47" s="27"/>
      <c r="O47" s="28"/>
      <c r="P47" s="28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37"/>
    </row>
    <row r="48">
      <c r="A48" s="38">
        <v>43.0</v>
      </c>
      <c r="B48" s="53"/>
      <c r="C48" s="35"/>
      <c r="D48" s="36"/>
      <c r="E48" s="43" t="str">
        <f>IFERROR(__xludf.DUMMYFUNCTION("IF(AND(ISNUMBER(C48),ISDATE(D48)),D48+C48-1,"""")"),"")</f>
        <v/>
      </c>
      <c r="F48" s="44"/>
      <c r="G48" s="35"/>
      <c r="H48" s="44"/>
      <c r="I48" s="44"/>
      <c r="J48" s="44"/>
      <c r="K48" s="50"/>
      <c r="L48" s="45"/>
      <c r="M48" s="46"/>
      <c r="N48" s="27"/>
      <c r="O48" s="28"/>
      <c r="P48" s="28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37"/>
    </row>
    <row r="49">
      <c r="A49" s="38">
        <v>44.0</v>
      </c>
      <c r="B49" s="53"/>
      <c r="C49" s="35"/>
      <c r="D49" s="36"/>
      <c r="E49" s="43" t="str">
        <f>IFERROR(__xludf.DUMMYFUNCTION("IF(AND(ISNUMBER(C49),ISDATE(D49)),D49+C49-1,"""")"),"")</f>
        <v/>
      </c>
      <c r="F49" s="44"/>
      <c r="G49" s="35"/>
      <c r="H49" s="44"/>
      <c r="I49" s="44"/>
      <c r="J49" s="44"/>
      <c r="K49" s="50"/>
      <c r="L49" s="45"/>
      <c r="M49" s="46"/>
      <c r="N49" s="27"/>
      <c r="O49" s="28"/>
      <c r="P49" s="28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37"/>
    </row>
    <row r="50">
      <c r="A50" s="38">
        <v>45.0</v>
      </c>
      <c r="B50" s="53"/>
      <c r="C50" s="35"/>
      <c r="D50" s="36"/>
      <c r="E50" s="43" t="str">
        <f>IFERROR(__xludf.DUMMYFUNCTION("IF(AND(ISNUMBER(C50),ISDATE(D50)),D50+C50-1,"""")"),"")</f>
        <v/>
      </c>
      <c r="F50" s="44"/>
      <c r="G50" s="35"/>
      <c r="H50" s="44"/>
      <c r="I50" s="44"/>
      <c r="J50" s="44"/>
      <c r="K50" s="50"/>
      <c r="L50" s="45"/>
      <c r="M50" s="46"/>
      <c r="N50" s="27"/>
      <c r="O50" s="28"/>
      <c r="P50" s="28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37"/>
    </row>
    <row r="51">
      <c r="A51" s="38">
        <v>46.0</v>
      </c>
      <c r="B51" s="53"/>
      <c r="C51" s="35"/>
      <c r="D51" s="36"/>
      <c r="E51" s="43" t="str">
        <f>IFERROR(__xludf.DUMMYFUNCTION("IF(AND(ISNUMBER(C51),ISDATE(D51)),D51+C51-1,"""")"),"")</f>
        <v/>
      </c>
      <c r="F51" s="44"/>
      <c r="G51" s="35"/>
      <c r="H51" s="44"/>
      <c r="I51" s="44"/>
      <c r="J51" s="44"/>
      <c r="K51" s="50"/>
      <c r="L51" s="45"/>
      <c r="M51" s="46"/>
      <c r="N51" s="27"/>
      <c r="O51" s="28"/>
      <c r="P51" s="28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37"/>
    </row>
    <row r="52">
      <c r="A52" s="38">
        <v>47.0</v>
      </c>
      <c r="B52" s="53"/>
      <c r="C52" s="35"/>
      <c r="D52" s="36"/>
      <c r="E52" s="43" t="str">
        <f>IFERROR(__xludf.DUMMYFUNCTION("IF(AND(ISNUMBER(C52),ISDATE(D52)),D52+C52-1,"""")"),"")</f>
        <v/>
      </c>
      <c r="F52" s="44"/>
      <c r="G52" s="35"/>
      <c r="H52" s="44"/>
      <c r="I52" s="44"/>
      <c r="J52" s="44"/>
      <c r="K52" s="50"/>
      <c r="L52" s="45"/>
      <c r="M52" s="46"/>
      <c r="N52" s="27"/>
      <c r="O52" s="28"/>
      <c r="P52" s="28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37"/>
    </row>
    <row r="53">
      <c r="A53" s="38">
        <v>48.0</v>
      </c>
      <c r="B53" s="53"/>
      <c r="C53" s="35"/>
      <c r="D53" s="36"/>
      <c r="E53" s="43" t="str">
        <f>IFERROR(__xludf.DUMMYFUNCTION("IF(AND(ISNUMBER(C53),ISDATE(D53)),D53+C53-1,"""")"),"")</f>
        <v/>
      </c>
      <c r="F53" s="44"/>
      <c r="G53" s="35"/>
      <c r="H53" s="44"/>
      <c r="I53" s="44"/>
      <c r="J53" s="44"/>
      <c r="K53" s="50"/>
      <c r="L53" s="45"/>
      <c r="M53" s="46"/>
      <c r="N53" s="27"/>
      <c r="O53" s="28"/>
      <c r="P53" s="28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37"/>
    </row>
    <row r="54">
      <c r="A54" s="38">
        <v>49.0</v>
      </c>
      <c r="B54" s="53"/>
      <c r="C54" s="35"/>
      <c r="D54" s="36"/>
      <c r="E54" s="43" t="str">
        <f>IFERROR(__xludf.DUMMYFUNCTION("IF(AND(ISNUMBER(C54),ISDATE(D54)),D54+C54-1,"""")"),"")</f>
        <v/>
      </c>
      <c r="F54" s="44"/>
      <c r="G54" s="35"/>
      <c r="H54" s="44"/>
      <c r="I54" s="44"/>
      <c r="J54" s="44"/>
      <c r="K54" s="50"/>
      <c r="L54" s="45"/>
      <c r="M54" s="46"/>
      <c r="N54" s="27"/>
      <c r="O54" s="28"/>
      <c r="P54" s="28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37"/>
    </row>
    <row r="55">
      <c r="A55" s="38">
        <v>50.0</v>
      </c>
      <c r="B55" s="53"/>
      <c r="C55" s="35"/>
      <c r="D55" s="36"/>
      <c r="E55" s="43" t="str">
        <f>IFERROR(__xludf.DUMMYFUNCTION("IF(AND(ISNUMBER(C55),ISDATE(D55)),D55+C55-1,"""")"),"")</f>
        <v/>
      </c>
      <c r="F55" s="44"/>
      <c r="G55" s="35"/>
      <c r="H55" s="44"/>
      <c r="I55" s="44"/>
      <c r="J55" s="44"/>
      <c r="K55" s="50"/>
      <c r="L55" s="45"/>
      <c r="M55" s="46"/>
      <c r="N55" s="27"/>
      <c r="O55" s="28"/>
      <c r="P55" s="28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37"/>
    </row>
    <row r="56">
      <c r="A56" s="38">
        <v>51.0</v>
      </c>
      <c r="B56" s="46"/>
      <c r="C56" s="40"/>
      <c r="D56" s="41"/>
      <c r="E56" s="43" t="str">
        <f>IFERROR(__xludf.DUMMYFUNCTION("IF(AND(ISNUMBER(C56),ISDATE(D56)),D56+C56-1,"""")"),"")</f>
        <v/>
      </c>
      <c r="F56" s="27"/>
      <c r="G56" s="40"/>
      <c r="H56" s="27"/>
      <c r="I56" s="27"/>
      <c r="J56" s="27"/>
      <c r="K56" s="41"/>
      <c r="L56" s="47"/>
      <c r="M56" s="46"/>
      <c r="N56" s="27"/>
      <c r="O56" s="28"/>
      <c r="P56" s="28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37"/>
    </row>
    <row r="57">
      <c r="A57" s="38">
        <v>52.0</v>
      </c>
      <c r="B57" s="53"/>
      <c r="C57" s="35"/>
      <c r="D57" s="36"/>
      <c r="E57" s="43" t="str">
        <f>IFERROR(__xludf.DUMMYFUNCTION("IF(AND(ISNUMBER(C57),ISDATE(D57)),D57+C57-1,"""")"),"")</f>
        <v/>
      </c>
      <c r="F57" s="44"/>
      <c r="G57" s="35"/>
      <c r="H57" s="44"/>
      <c r="I57" s="44"/>
      <c r="J57" s="44"/>
      <c r="K57" s="50"/>
      <c r="L57" s="45"/>
      <c r="M57" s="46"/>
      <c r="N57" s="27"/>
      <c r="O57" s="28"/>
      <c r="P57" s="28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37"/>
    </row>
    <row r="58">
      <c r="A58" s="38">
        <v>53.0</v>
      </c>
      <c r="B58" s="46"/>
      <c r="C58" s="40"/>
      <c r="D58" s="41"/>
      <c r="E58" s="43" t="str">
        <f>IFERROR(__xludf.DUMMYFUNCTION("IF(AND(ISNUMBER(C58),ISDATE(D58)),D58+C58-1,"""")"),"")</f>
        <v/>
      </c>
      <c r="F58" s="27"/>
      <c r="G58" s="40"/>
      <c r="H58" s="27"/>
      <c r="I58" s="27"/>
      <c r="J58" s="27"/>
      <c r="K58" s="41"/>
      <c r="L58" s="47"/>
      <c r="M58" s="46"/>
      <c r="N58" s="27"/>
      <c r="O58" s="28"/>
      <c r="P58" s="28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37"/>
    </row>
    <row r="59">
      <c r="A59" s="38">
        <v>54.0</v>
      </c>
      <c r="B59" s="53"/>
      <c r="C59" s="35"/>
      <c r="D59" s="36"/>
      <c r="E59" s="43" t="str">
        <f>IFERROR(__xludf.DUMMYFUNCTION("IF(AND(ISNUMBER(C59),ISDATE(D59)),D59+C59-1,"""")"),"")</f>
        <v/>
      </c>
      <c r="F59" s="44"/>
      <c r="G59" s="35"/>
      <c r="H59" s="44"/>
      <c r="I59" s="44"/>
      <c r="J59" s="44"/>
      <c r="K59" s="50"/>
      <c r="L59" s="45"/>
      <c r="M59" s="46"/>
      <c r="N59" s="27"/>
      <c r="O59" s="28"/>
      <c r="P59" s="28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37"/>
    </row>
    <row r="60">
      <c r="A60" s="38">
        <v>55.0</v>
      </c>
      <c r="B60" s="46"/>
      <c r="C60" s="40"/>
      <c r="D60" s="41"/>
      <c r="E60" s="43" t="str">
        <f>IFERROR(__xludf.DUMMYFUNCTION("IF(AND(ISNUMBER(C60),ISDATE(D60)),D60+C60-1,"""")"),"")</f>
        <v/>
      </c>
      <c r="F60" s="27"/>
      <c r="G60" s="40"/>
      <c r="H60" s="27"/>
      <c r="I60" s="27"/>
      <c r="J60" s="27"/>
      <c r="K60" s="41"/>
      <c r="L60" s="47"/>
      <c r="M60" s="46"/>
      <c r="N60" s="27"/>
      <c r="O60" s="28"/>
      <c r="P60" s="28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37"/>
    </row>
    <row r="61">
      <c r="A61" s="38">
        <v>56.0</v>
      </c>
      <c r="B61" s="53"/>
      <c r="C61" s="35"/>
      <c r="D61" s="36"/>
      <c r="E61" s="43" t="str">
        <f>IFERROR(__xludf.DUMMYFUNCTION("IF(AND(ISNUMBER(C61),ISDATE(D61)),D61+C61-1,"""")"),"")</f>
        <v/>
      </c>
      <c r="F61" s="44"/>
      <c r="G61" s="35"/>
      <c r="H61" s="44"/>
      <c r="I61" s="44"/>
      <c r="J61" s="44"/>
      <c r="K61" s="50"/>
      <c r="L61" s="45"/>
      <c r="M61" s="46"/>
      <c r="N61" s="27"/>
      <c r="O61" s="28"/>
      <c r="P61" s="28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37"/>
    </row>
    <row r="62">
      <c r="A62" s="38">
        <v>57.0</v>
      </c>
      <c r="B62" s="54"/>
      <c r="C62" s="55"/>
      <c r="D62" s="56"/>
      <c r="E62" s="43" t="str">
        <f>IFERROR(__xludf.DUMMYFUNCTION("IF(AND(ISNUMBER(C62),ISDATE(D62)),D62+C62-1,"""")"),"")</f>
        <v/>
      </c>
      <c r="F62" s="55"/>
      <c r="G62" s="57"/>
      <c r="H62" s="55"/>
      <c r="I62" s="55"/>
      <c r="J62" s="55"/>
      <c r="K62" s="56"/>
      <c r="L62" s="58"/>
      <c r="M62" s="54"/>
      <c r="N62" s="55"/>
      <c r="O62" s="59"/>
      <c r="P62" s="59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  <c r="BD62" s="55"/>
      <c r="BE62" s="55"/>
      <c r="BF62" s="55"/>
      <c r="BG62" s="55"/>
      <c r="BH62" s="55"/>
      <c r="BI62" s="55"/>
      <c r="BJ62" s="55"/>
      <c r="BK62" s="55"/>
      <c r="BL62" s="55"/>
      <c r="BM62" s="55"/>
      <c r="BN62" s="55"/>
      <c r="BO62" s="55"/>
      <c r="BP62" s="60"/>
    </row>
    <row r="63">
      <c r="B63" s="2"/>
      <c r="C63" s="2"/>
      <c r="D63" s="61"/>
      <c r="E63" s="61"/>
      <c r="F63" s="2"/>
      <c r="G63" s="2"/>
      <c r="H63" s="2"/>
      <c r="I63" s="2"/>
      <c r="J63" s="2"/>
      <c r="K63" s="61"/>
      <c r="L63" s="61"/>
      <c r="M63" s="2"/>
      <c r="N63" s="2"/>
    </row>
    <row r="64">
      <c r="B64" s="2"/>
      <c r="C64" s="2"/>
      <c r="D64" s="61"/>
      <c r="E64" s="61"/>
      <c r="F64" s="2"/>
      <c r="G64" s="2"/>
      <c r="H64" s="2"/>
      <c r="I64" s="2"/>
      <c r="J64" s="2"/>
      <c r="K64" s="61"/>
      <c r="L64" s="61"/>
      <c r="M64" s="2"/>
      <c r="N64" s="2"/>
    </row>
    <row r="65">
      <c r="B65" s="2"/>
      <c r="C65" s="2"/>
      <c r="D65" s="61"/>
      <c r="E65" s="61"/>
      <c r="F65" s="2"/>
      <c r="G65" s="2"/>
      <c r="H65" s="2"/>
      <c r="I65" s="2"/>
      <c r="J65" s="2"/>
      <c r="K65" s="61"/>
      <c r="L65" s="61"/>
      <c r="M65" s="2"/>
      <c r="N65" s="2"/>
    </row>
    <row r="66">
      <c r="B66" s="2"/>
      <c r="C66" s="2"/>
      <c r="D66" s="61"/>
      <c r="E66" s="61"/>
      <c r="F66" s="2"/>
      <c r="G66" s="2"/>
      <c r="H66" s="2"/>
      <c r="I66" s="2"/>
      <c r="J66" s="2"/>
      <c r="K66" s="61"/>
      <c r="L66" s="61"/>
      <c r="M66" s="2"/>
      <c r="N66" s="2"/>
    </row>
    <row r="67">
      <c r="B67" s="2"/>
      <c r="C67" s="2"/>
      <c r="D67" s="61"/>
      <c r="E67" s="61"/>
      <c r="F67" s="2"/>
      <c r="G67" s="2"/>
      <c r="H67" s="2"/>
      <c r="I67" s="2"/>
      <c r="J67" s="2"/>
      <c r="K67" s="61"/>
      <c r="L67" s="61"/>
      <c r="M67" s="2"/>
      <c r="N67" s="2"/>
    </row>
    <row r="68">
      <c r="B68" s="2"/>
      <c r="C68" s="2"/>
      <c r="D68" s="61"/>
      <c r="E68" s="61"/>
      <c r="F68" s="2"/>
      <c r="G68" s="2"/>
      <c r="H68" s="2"/>
      <c r="I68" s="2"/>
      <c r="J68" s="2"/>
      <c r="K68" s="61"/>
      <c r="L68" s="61"/>
      <c r="M68" s="2"/>
      <c r="N68" s="2"/>
    </row>
    <row r="69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  <row r="1001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</row>
    <row r="1002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</row>
    <row r="1003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</row>
    <row r="1004"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</row>
    <row r="1005"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</row>
    <row r="1006"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</row>
    <row r="1007"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</row>
    <row r="1008"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</row>
    <row r="1009"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</row>
    <row r="1010"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</row>
    <row r="1011"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</row>
    <row r="1012"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</row>
    <row r="1013"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</row>
    <row r="1014"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</row>
    <row r="1015"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</row>
    <row r="1016"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</row>
    <row r="1017"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</row>
    <row r="1018"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</row>
    <row r="1019"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</row>
    <row r="1020"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</row>
    <row r="1021"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</row>
    <row r="1022"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</row>
    <row r="1023"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</row>
    <row r="1024"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</row>
    <row r="1025"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</row>
    <row r="1026"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</row>
    <row r="1027"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</row>
    <row r="1028"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</row>
    <row r="1029"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</row>
    <row r="1030"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</row>
    <row r="1031"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</row>
    <row r="1032"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</row>
  </sheetData>
  <mergeCells count="4">
    <mergeCell ref="I1:L1"/>
    <mergeCell ref="H3:L3"/>
    <mergeCell ref="B4:L4"/>
    <mergeCell ref="M4:BP4"/>
  </mergeCells>
  <dataValidations>
    <dataValidation type="list" allowBlank="1" showErrorMessage="1" sqref="I6:I62">
      <formula1>Llistes!$B$2:$B$6</formula1>
    </dataValidation>
    <dataValidation type="list" allowBlank="1" showErrorMessage="1" sqref="G6:G62">
      <formula1>Llistes!$A$2:$A$5</formula1>
    </dataValidation>
    <dataValidation type="list" allowBlank="1" showErrorMessage="1" sqref="H6:H62">
      <formula1>Llistes!$C$2:$C$4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2" t="s">
        <v>10</v>
      </c>
      <c r="B1" s="62" t="s">
        <v>12</v>
      </c>
      <c r="C1" s="62" t="s">
        <v>38</v>
      </c>
    </row>
    <row r="2">
      <c r="A2" s="62" t="s">
        <v>28</v>
      </c>
      <c r="B2" s="62">
        <v>1.0</v>
      </c>
      <c r="C2" s="62" t="s">
        <v>18</v>
      </c>
    </row>
    <row r="3">
      <c r="A3" s="62" t="s">
        <v>24</v>
      </c>
      <c r="B3" s="62">
        <v>2.0</v>
      </c>
      <c r="C3" s="62" t="s">
        <v>22</v>
      </c>
    </row>
    <row r="4">
      <c r="A4" s="62" t="s">
        <v>17</v>
      </c>
      <c r="B4" s="62">
        <v>3.0</v>
      </c>
      <c r="C4" s="62" t="s">
        <v>20</v>
      </c>
    </row>
    <row r="5">
      <c r="A5" s="62" t="s">
        <v>39</v>
      </c>
      <c r="B5" s="62">
        <v>4.0</v>
      </c>
    </row>
    <row r="6">
      <c r="B6" s="62">
        <v>5.0</v>
      </c>
    </row>
  </sheetData>
  <drawing r:id="rId1"/>
</worksheet>
</file>