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 prevista" sheetId="1" r:id="rId4"/>
    <sheet state="visible" name="Llistes" sheetId="2" r:id="rId5"/>
  </sheets>
  <definedNames/>
  <calcPr/>
</workbook>
</file>

<file path=xl/sharedStrings.xml><?xml version="1.0" encoding="utf-8"?>
<sst xmlns="http://schemas.openxmlformats.org/spreadsheetml/2006/main" count="101" uniqueCount="49">
  <si>
    <t>Client</t>
  </si>
  <si>
    <t>ElectroTech</t>
  </si>
  <si>
    <t>PLANIFICACIÓ DEL PROJECTE</t>
  </si>
  <si>
    <t>CALENDARI</t>
  </si>
  <si>
    <t>ID</t>
  </si>
  <si>
    <t>Nom</t>
  </si>
  <si>
    <t>Durada</t>
  </si>
  <si>
    <t>Data Inici prevista</t>
  </si>
  <si>
    <t>Data Final Prevista</t>
  </si>
  <si>
    <t>Dependència</t>
  </si>
  <si>
    <t>Estat</t>
  </si>
  <si>
    <t>Responsable</t>
  </si>
  <si>
    <t>Prioritat</t>
  </si>
  <si>
    <t>Endarreriment</t>
  </si>
  <si>
    <t>Data Inici real</t>
  </si>
  <si>
    <t>Data Final Real</t>
  </si>
  <si>
    <t xml:space="preserve">Tasca 1: Correu al client amb llista de preguntes específiques i intel·ligents
</t>
  </si>
  <si>
    <t>Completada</t>
  </si>
  <si>
    <t>Raul</t>
  </si>
  <si>
    <t>Tasca 2: NotebookLM funcional amb la documentació analitzada i notes de treball</t>
  </si>
  <si>
    <t>Miguel</t>
  </si>
  <si>
    <t>Tasca 3: Checklist setmanal actualitzat a la carpeta compartida</t>
  </si>
  <si>
    <t>Izan</t>
  </si>
  <si>
    <t>Tasca 4: Proposta tècnica</t>
  </si>
  <si>
    <t>En curs</t>
  </si>
  <si>
    <t>Tasca 5: Planificació temporal</t>
  </si>
  <si>
    <t>Tasca 6: Pressupost</t>
  </si>
  <si>
    <t>Tasca 7: Formalització Gestió d'Avaries</t>
  </si>
  <si>
    <t>Per començar</t>
  </si>
  <si>
    <t>Tasca 8: Dashborad</t>
  </si>
  <si>
    <t>Tasca 9: Formalització Gestió de Préstecs (I) + Gestió de Recanvis i Baixes</t>
  </si>
  <si>
    <t>Tasca 10: Organització i Etiquetatge de Material</t>
  </si>
  <si>
    <t>Tasca 11: Registre de Préstecs i Retorns</t>
  </si>
  <si>
    <t>Tasca 12: Disseny Base de Dades Centralitzada</t>
  </si>
  <si>
    <t>Tasca 13: Codificació d'Equips Faltants</t>
  </si>
  <si>
    <t xml:space="preserve">Tasca 14: Revisió Inventari Despatxos
</t>
  </si>
  <si>
    <t xml:space="preserve">Tasca 15: Revisió Inventari Oficines i Sales
</t>
  </si>
  <si>
    <t xml:space="preserve">Tasca 16: Manteniment Preventiu Electrònic
</t>
  </si>
  <si>
    <t>Tasca 17: Reparació d'Elements Consumibles</t>
  </si>
  <si>
    <t>Tasca 18: Gestió Avaries Menors i Perifèrics</t>
  </si>
  <si>
    <t>Tasca 19: Gestió Avaries Greus (Pantalles i Estabilitzadors)</t>
  </si>
  <si>
    <t>Tasca 20: Kick-off / Planificació Inicial</t>
  </si>
  <si>
    <t>Tasca 21: Seguiment Processos (Avaries/Préstecs)</t>
  </si>
  <si>
    <t>Tasca 22: Seguiment Inventari i Codificació</t>
  </si>
  <si>
    <t>Tasca 23: Revisió Tancaments i Manteniment</t>
  </si>
  <si>
    <t>Tasca 24: Reunió Final / Lliurament</t>
  </si>
  <si>
    <t>Tasca 25: Consolidació i Documentació Final</t>
  </si>
  <si>
    <t>Membres</t>
  </si>
  <si>
    <t>Aplaçada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</si>
</sst>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theme="5"/>
        <bgColor theme="5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2" fontId="3" numFmtId="0" xfId="0" applyAlignment="1" applyBorder="1" applyFill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  <xf borderId="5" fillId="3" fontId="5" numFmtId="0" xfId="0" applyBorder="1" applyFill="1" applyFont="1"/>
    <xf borderId="5" fillId="3" fontId="5" numFmtId="0" xfId="0" applyAlignment="1" applyBorder="1" applyFont="1">
      <alignment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4" fontId="3" numFmtId="0" xfId="0" applyAlignment="1" applyBorder="1" applyFill="1" applyFont="1">
      <alignment readingOrder="0" shrinkToFit="0" wrapText="1"/>
    </xf>
    <xf borderId="8" fillId="5" fontId="3" numFmtId="0" xfId="0" applyAlignment="1" applyBorder="1" applyFill="1" applyFont="1">
      <alignment horizontal="center" readingOrder="0"/>
    </xf>
    <xf borderId="9" fillId="5" fontId="3" numFmtId="0" xfId="0" applyAlignment="1" applyBorder="1" applyFont="1">
      <alignment horizontal="center" readingOrder="0" shrinkToFit="0" wrapText="1"/>
    </xf>
    <xf borderId="10" fillId="5" fontId="3" numFmtId="0" xfId="0" applyAlignment="1" applyBorder="1" applyFont="1">
      <alignment horizontal="center" readingOrder="0" shrinkToFit="0" wrapText="1"/>
    </xf>
    <xf borderId="11" fillId="5" fontId="3" numFmtId="0" xfId="0" applyAlignment="1" applyBorder="1" applyFont="1">
      <alignment horizontal="center" readingOrder="0" shrinkToFit="0" wrapText="1"/>
    </xf>
    <xf borderId="9" fillId="6" fontId="2" numFmtId="0" xfId="0" applyAlignment="1" applyBorder="1" applyFill="1" applyFont="1">
      <alignment readingOrder="0" shrinkToFit="0" textRotation="90" wrapText="1"/>
    </xf>
    <xf borderId="10" fillId="6" fontId="2" numFmtId="0" xfId="0" applyAlignment="1" applyBorder="1" applyFont="1">
      <alignment readingOrder="0" shrinkToFit="0" textRotation="90" wrapText="1"/>
    </xf>
    <xf borderId="10" fillId="6" fontId="2" numFmtId="0" xfId="0" applyAlignment="1" applyBorder="1" applyFont="1">
      <alignment shrinkToFit="0" textRotation="90" wrapText="1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readingOrder="0" shrinkToFit="0" wrapText="1"/>
    </xf>
    <xf borderId="1" fillId="6" fontId="2" numFmtId="0" xfId="0" applyAlignment="1" applyBorder="1" applyFont="1">
      <alignment readingOrder="0" shrinkToFit="0" wrapText="1"/>
    </xf>
    <xf borderId="15" fillId="6" fontId="2" numFmtId="0" xfId="0" applyAlignment="1" applyBorder="1" applyFont="1">
      <alignment readingOrder="0" shrinkToFit="0" wrapText="1"/>
    </xf>
    <xf borderId="1" fillId="7" fontId="2" numFmtId="0" xfId="0" applyAlignment="1" applyBorder="1" applyFill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8" fontId="2" numFmtId="0" xfId="0" applyAlignment="1" applyBorder="1" applyFill="1" applyFont="1">
      <alignment shrinkToFit="0" wrapText="1"/>
    </xf>
    <xf borderId="14" fillId="8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16" fillId="0" fontId="2" numFmtId="0" xfId="0" applyAlignment="1" applyBorder="1" applyFont="1">
      <alignment shrinkToFit="0" wrapText="1"/>
    </xf>
    <xf borderId="2" fillId="9" fontId="2" numFmtId="0" xfId="0" applyAlignment="1" applyBorder="1" applyFill="1" applyFont="1">
      <alignment readingOrder="0"/>
    </xf>
    <xf borderId="17" fillId="9" fontId="2" numFmtId="0" xfId="0" applyAlignment="1" applyBorder="1" applyFont="1">
      <alignment readingOrder="0" shrinkToFit="0" wrapText="1"/>
    </xf>
    <xf borderId="1" fillId="9" fontId="2" numFmtId="0" xfId="0" applyAlignment="1" applyBorder="1" applyFont="1">
      <alignment readingOrder="0" shrinkToFit="0" wrapText="1"/>
    </xf>
    <xf borderId="14" fillId="9" fontId="2" numFmtId="0" xfId="0" applyAlignment="1" applyBorder="1" applyFont="1">
      <alignment readingOrder="0" shrinkToFit="0" wrapText="1"/>
    </xf>
    <xf borderId="1" fillId="10" fontId="2" numFmtId="0" xfId="0" applyAlignment="1" applyBorder="1" applyFill="1" applyFont="1">
      <alignment shrinkToFit="0" wrapText="1"/>
    </xf>
    <xf borderId="15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/>
    </xf>
    <xf borderId="17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7" fillId="11" fontId="2" numFmtId="0" xfId="0" applyAlignment="1" applyBorder="1" applyFill="1" applyFont="1">
      <alignment shrinkToFit="0" wrapText="1"/>
    </xf>
    <xf borderId="1" fillId="11" fontId="2" numFmtId="0" xfId="0" applyAlignment="1" applyBorder="1" applyFont="1">
      <alignment shrinkToFit="0" wrapText="1"/>
    </xf>
    <xf borderId="1" fillId="9" fontId="2" numFmtId="0" xfId="0" applyAlignment="1" applyBorder="1" applyFont="1">
      <alignment readingOrder="0"/>
    </xf>
    <xf borderId="15" fillId="12" fontId="2" numFmtId="0" xfId="0" applyAlignment="1" applyBorder="1" applyFill="1" applyFont="1">
      <alignment readingOrder="0" shrinkToFit="0" wrapText="1"/>
    </xf>
    <xf borderId="17" fillId="0" fontId="2" numFmtId="0" xfId="0" applyAlignment="1" applyBorder="1" applyFont="1">
      <alignment shrinkToFit="0" wrapText="1"/>
    </xf>
    <xf borderId="0" fillId="9" fontId="2" numFmtId="0" xfId="0" applyAlignment="1" applyFont="1">
      <alignment readingOrder="0"/>
    </xf>
    <xf borderId="1" fillId="13" fontId="2" numFmtId="0" xfId="0" applyAlignment="1" applyBorder="1" applyFill="1" applyFont="1">
      <alignment shrinkToFit="0" wrapText="1"/>
    </xf>
    <xf borderId="1" fillId="0" fontId="2" numFmtId="164" xfId="0" applyAlignment="1" applyBorder="1" applyFont="1" applyNumberFormat="1">
      <alignment readingOrder="0" shrinkToFit="0" wrapText="1"/>
    </xf>
    <xf borderId="15" fillId="6" fontId="2" numFmtId="164" xfId="0" applyAlignment="1" applyBorder="1" applyFont="1" applyNumberFormat="1">
      <alignment shrinkToFit="0" wrapText="1"/>
    </xf>
    <xf borderId="1" fillId="9" fontId="2" numFmtId="0" xfId="0" applyAlignment="1" applyBorder="1" applyFont="1">
      <alignment shrinkToFit="0" wrapText="1"/>
    </xf>
    <xf borderId="1" fillId="9" fontId="2" numFmtId="164" xfId="0" applyAlignment="1" applyBorder="1" applyFont="1" applyNumberFormat="1">
      <alignment shrinkToFit="0" wrapText="1"/>
    </xf>
    <xf borderId="15" fillId="12" fontId="2" numFmtId="164" xfId="0" applyAlignment="1" applyBorder="1" applyFont="1" applyNumberFormat="1">
      <alignment shrinkToFit="0" wrapText="1"/>
    </xf>
    <xf borderId="15" fillId="7" fontId="2" numFmtId="0" xfId="0" applyAlignment="1" applyBorder="1" applyFont="1">
      <alignment shrinkToFit="0" wrapText="1"/>
    </xf>
    <xf borderId="15" fillId="13" fontId="2" numFmtId="0" xfId="0" applyAlignment="1" applyBorder="1" applyFont="1">
      <alignment shrinkToFit="0" wrapText="1"/>
    </xf>
    <xf borderId="15" fillId="11" fontId="2" numFmtId="0" xfId="0" applyAlignment="1" applyBorder="1" applyFont="1">
      <alignment shrinkToFit="0" wrapText="1"/>
    </xf>
    <xf borderId="17" fillId="9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shrinkToFit="0" wrapText="1"/>
    </xf>
    <xf borderId="10" fillId="0" fontId="2" numFmtId="164" xfId="0" applyAlignment="1" applyBorder="1" applyFont="1" applyNumberFormat="1">
      <alignment shrinkToFit="0" wrapText="1"/>
    </xf>
    <xf borderId="11" fillId="6" fontId="2" numFmtId="164" xfId="0" applyAlignment="1" applyBorder="1" applyFont="1" applyNumberFormat="1">
      <alignment shrinkToFit="0" wrapText="1"/>
    </xf>
    <xf borderId="10" fillId="2" fontId="2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0</xdr:rowOff>
    </xdr:from>
    <xdr:ext cx="1704975" cy="561975"/>
    <xdr:pic>
      <xdr:nvPicPr>
        <xdr:cNvPr id="0" name="image1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5.63"/>
    <col customWidth="1" min="3" max="3" width="7.13"/>
    <col customWidth="1" min="4" max="5" width="9.25"/>
    <col customWidth="1" min="6" max="6" width="6.75"/>
    <col customWidth="1" min="7" max="7" width="16.13"/>
    <col customWidth="1" min="8" max="8" width="13.13"/>
    <col customWidth="1" min="9" max="9" width="7.88"/>
    <col customWidth="1" min="10" max="10" width="7.75"/>
    <col customWidth="1" min="11" max="12" width="9.25"/>
    <col customWidth="1" min="13" max="75" width="3.25"/>
  </cols>
  <sheetData>
    <row r="1">
      <c r="A1" s="1"/>
      <c r="B1" s="2"/>
      <c r="C1" s="3"/>
      <c r="D1" s="2"/>
      <c r="E1" s="2"/>
      <c r="F1" s="2"/>
      <c r="G1" s="2"/>
      <c r="H1" s="4" t="s">
        <v>0</v>
      </c>
      <c r="I1" s="5" t="s">
        <v>1</v>
      </c>
      <c r="J1" s="6"/>
      <c r="K1" s="6"/>
      <c r="L1" s="7"/>
      <c r="M1" s="2"/>
      <c r="N1" s="2"/>
    </row>
    <row r="2"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C3" s="2"/>
      <c r="D3" s="2"/>
      <c r="E3" s="2"/>
      <c r="F3" s="2"/>
      <c r="G3" s="2"/>
      <c r="H3" s="3"/>
      <c r="M3" s="2"/>
      <c r="N3" s="2"/>
    </row>
    <row r="4">
      <c r="A4" s="8"/>
      <c r="B4" s="9" t="s">
        <v>2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12" t="s">
        <v>3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</row>
    <row r="5" ht="56.25" customHeight="1">
      <c r="A5" s="13" t="s">
        <v>4</v>
      </c>
      <c r="B5" s="14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5" t="s">
        <v>12</v>
      </c>
      <c r="J5" s="15" t="s">
        <v>13</v>
      </c>
      <c r="K5" s="15" t="s">
        <v>14</v>
      </c>
      <c r="L5" s="16" t="s">
        <v>15</v>
      </c>
      <c r="M5" s="17">
        <f>IF(ISNUMBER(D6),D6,"")</f>
        <v>1</v>
      </c>
      <c r="N5" s="18">
        <v>2.0</v>
      </c>
      <c r="O5" s="19">
        <f t="shared" ref="O5:BW5" si="1">IF(ISNUMBER(N5),N5+1,"")</f>
        <v>3</v>
      </c>
      <c r="P5" s="19">
        <f t="shared" si="1"/>
        <v>4</v>
      </c>
      <c r="Q5" s="19">
        <f t="shared" si="1"/>
        <v>5</v>
      </c>
      <c r="R5" s="19">
        <f t="shared" si="1"/>
        <v>6</v>
      </c>
      <c r="S5" s="19">
        <f t="shared" si="1"/>
        <v>7</v>
      </c>
      <c r="T5" s="19">
        <f t="shared" si="1"/>
        <v>8</v>
      </c>
      <c r="U5" s="19">
        <f t="shared" si="1"/>
        <v>9</v>
      </c>
      <c r="V5" s="19">
        <f t="shared" si="1"/>
        <v>10</v>
      </c>
      <c r="W5" s="19">
        <f t="shared" si="1"/>
        <v>11</v>
      </c>
      <c r="X5" s="19">
        <f t="shared" si="1"/>
        <v>12</v>
      </c>
      <c r="Y5" s="19">
        <f t="shared" si="1"/>
        <v>13</v>
      </c>
      <c r="Z5" s="19">
        <f t="shared" si="1"/>
        <v>14</v>
      </c>
      <c r="AA5" s="19">
        <f t="shared" si="1"/>
        <v>15</v>
      </c>
      <c r="AB5" s="19">
        <f t="shared" si="1"/>
        <v>16</v>
      </c>
      <c r="AC5" s="19">
        <f t="shared" si="1"/>
        <v>17</v>
      </c>
      <c r="AD5" s="19">
        <f t="shared" si="1"/>
        <v>18</v>
      </c>
      <c r="AE5" s="19">
        <f t="shared" si="1"/>
        <v>19</v>
      </c>
      <c r="AF5" s="19">
        <f t="shared" si="1"/>
        <v>20</v>
      </c>
      <c r="AG5" s="19">
        <f t="shared" si="1"/>
        <v>21</v>
      </c>
      <c r="AH5" s="19">
        <f t="shared" si="1"/>
        <v>22</v>
      </c>
      <c r="AI5" s="19">
        <f t="shared" si="1"/>
        <v>23</v>
      </c>
      <c r="AJ5" s="19">
        <f t="shared" si="1"/>
        <v>24</v>
      </c>
      <c r="AK5" s="19">
        <f t="shared" si="1"/>
        <v>25</v>
      </c>
      <c r="AL5" s="19">
        <f t="shared" si="1"/>
        <v>26</v>
      </c>
      <c r="AM5" s="19">
        <f t="shared" si="1"/>
        <v>27</v>
      </c>
      <c r="AN5" s="19">
        <f t="shared" si="1"/>
        <v>28</v>
      </c>
      <c r="AO5" s="19">
        <f t="shared" si="1"/>
        <v>29</v>
      </c>
      <c r="AP5" s="19">
        <f t="shared" si="1"/>
        <v>30</v>
      </c>
      <c r="AQ5" s="19">
        <f t="shared" si="1"/>
        <v>31</v>
      </c>
      <c r="AR5" s="19">
        <f t="shared" si="1"/>
        <v>32</v>
      </c>
      <c r="AS5" s="19">
        <f t="shared" si="1"/>
        <v>33</v>
      </c>
      <c r="AT5" s="19">
        <f t="shared" si="1"/>
        <v>34</v>
      </c>
      <c r="AU5" s="19">
        <f t="shared" si="1"/>
        <v>35</v>
      </c>
      <c r="AV5" s="19">
        <f t="shared" si="1"/>
        <v>36</v>
      </c>
      <c r="AW5" s="19">
        <f t="shared" si="1"/>
        <v>37</v>
      </c>
      <c r="AX5" s="19">
        <f t="shared" si="1"/>
        <v>38</v>
      </c>
      <c r="AY5" s="19">
        <f t="shared" si="1"/>
        <v>39</v>
      </c>
      <c r="AZ5" s="19">
        <f t="shared" si="1"/>
        <v>40</v>
      </c>
      <c r="BA5" s="19">
        <f t="shared" si="1"/>
        <v>41</v>
      </c>
      <c r="BB5" s="19">
        <f t="shared" si="1"/>
        <v>42</v>
      </c>
      <c r="BC5" s="19">
        <f t="shared" si="1"/>
        <v>43</v>
      </c>
      <c r="BD5" s="19">
        <f t="shared" si="1"/>
        <v>44</v>
      </c>
      <c r="BE5" s="19">
        <f t="shared" si="1"/>
        <v>45</v>
      </c>
      <c r="BF5" s="19">
        <f t="shared" si="1"/>
        <v>46</v>
      </c>
      <c r="BG5" s="19">
        <f t="shared" si="1"/>
        <v>47</v>
      </c>
      <c r="BH5" s="19">
        <f t="shared" si="1"/>
        <v>48</v>
      </c>
      <c r="BI5" s="19">
        <f t="shared" si="1"/>
        <v>49</v>
      </c>
      <c r="BJ5" s="19">
        <f t="shared" si="1"/>
        <v>50</v>
      </c>
      <c r="BK5" s="19">
        <f t="shared" si="1"/>
        <v>51</v>
      </c>
      <c r="BL5" s="19">
        <f t="shared" si="1"/>
        <v>52</v>
      </c>
      <c r="BM5" s="19">
        <f t="shared" si="1"/>
        <v>53</v>
      </c>
      <c r="BN5" s="19">
        <f t="shared" si="1"/>
        <v>54</v>
      </c>
      <c r="BO5" s="19">
        <f t="shared" si="1"/>
        <v>55</v>
      </c>
      <c r="BP5" s="19">
        <f t="shared" si="1"/>
        <v>56</v>
      </c>
      <c r="BQ5" s="19">
        <f t="shared" si="1"/>
        <v>57</v>
      </c>
      <c r="BR5" s="19">
        <f t="shared" si="1"/>
        <v>58</v>
      </c>
      <c r="BS5" s="19">
        <f t="shared" si="1"/>
        <v>59</v>
      </c>
      <c r="BT5" s="19">
        <f t="shared" si="1"/>
        <v>60</v>
      </c>
      <c r="BU5" s="19">
        <f t="shared" si="1"/>
        <v>61</v>
      </c>
      <c r="BV5" s="19">
        <f t="shared" si="1"/>
        <v>62</v>
      </c>
      <c r="BW5" s="19">
        <f t="shared" si="1"/>
        <v>63</v>
      </c>
    </row>
    <row r="6">
      <c r="A6" s="20">
        <v>1.0</v>
      </c>
      <c r="B6" s="21" t="s">
        <v>16</v>
      </c>
      <c r="C6" s="22">
        <v>3.0</v>
      </c>
      <c r="D6" s="22">
        <v>1.0</v>
      </c>
      <c r="E6" s="23">
        <f t="shared" ref="E6:E42" si="2">IF(AND(ISNUMBER(C6),ISNUMBER(D6)),D6+C6-1,"")</f>
        <v>3</v>
      </c>
      <c r="F6" s="22">
        <v>2.0</v>
      </c>
      <c r="G6" s="22" t="s">
        <v>17</v>
      </c>
      <c r="H6" s="22" t="s">
        <v>18</v>
      </c>
      <c r="I6" s="22">
        <v>5.0</v>
      </c>
      <c r="J6" s="22">
        <v>0.0</v>
      </c>
      <c r="K6" s="22">
        <v>1.0</v>
      </c>
      <c r="L6" s="24">
        <v>3.0</v>
      </c>
      <c r="M6" s="25"/>
      <c r="N6" s="25"/>
      <c r="O6" s="25"/>
      <c r="P6" s="26"/>
      <c r="Q6" s="27"/>
      <c r="R6" s="27"/>
      <c r="S6" s="27"/>
      <c r="T6" s="28"/>
      <c r="U6" s="29"/>
      <c r="V6" s="29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1"/>
      <c r="BQ6" s="30"/>
      <c r="BR6" s="30"/>
      <c r="BS6" s="30"/>
      <c r="BT6" s="30"/>
      <c r="BU6" s="30"/>
      <c r="BV6" s="30"/>
      <c r="BW6" s="31"/>
    </row>
    <row r="7">
      <c r="A7" s="32">
        <v>2.0</v>
      </c>
      <c r="B7" s="33" t="s">
        <v>19</v>
      </c>
      <c r="C7" s="34">
        <v>3.0</v>
      </c>
      <c r="D7" s="35">
        <v>1.0</v>
      </c>
      <c r="E7" s="23">
        <f t="shared" si="2"/>
        <v>3</v>
      </c>
      <c r="F7" s="34">
        <v>1.0</v>
      </c>
      <c r="G7" s="34" t="s">
        <v>17</v>
      </c>
      <c r="H7" s="34" t="s">
        <v>20</v>
      </c>
      <c r="I7" s="34">
        <v>5.0</v>
      </c>
      <c r="J7" s="34">
        <v>0.0</v>
      </c>
      <c r="K7" s="34">
        <v>1.0</v>
      </c>
      <c r="L7" s="24">
        <v>3.0</v>
      </c>
      <c r="M7" s="36"/>
      <c r="N7" s="36"/>
      <c r="O7" s="36"/>
      <c r="P7" s="26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37"/>
      <c r="BQ7" s="27"/>
      <c r="BR7" s="27"/>
      <c r="BS7" s="27"/>
      <c r="BT7" s="27"/>
      <c r="BU7" s="27"/>
      <c r="BV7" s="27"/>
      <c r="BW7" s="37"/>
    </row>
    <row r="8">
      <c r="A8" s="38">
        <v>3.0</v>
      </c>
      <c r="B8" s="39" t="s">
        <v>21</v>
      </c>
      <c r="C8" s="40">
        <v>3.0</v>
      </c>
      <c r="D8" s="22">
        <v>1.0</v>
      </c>
      <c r="E8" s="23">
        <f t="shared" si="2"/>
        <v>3</v>
      </c>
      <c r="F8" s="40">
        <v>0.0</v>
      </c>
      <c r="G8" s="40" t="s">
        <v>17</v>
      </c>
      <c r="H8" s="40" t="s">
        <v>22</v>
      </c>
      <c r="I8" s="40">
        <v>5.0</v>
      </c>
      <c r="J8" s="40">
        <v>0.0</v>
      </c>
      <c r="K8" s="40">
        <v>1.0</v>
      </c>
      <c r="L8" s="24">
        <v>3.0</v>
      </c>
      <c r="M8" s="41"/>
      <c r="N8" s="42"/>
      <c r="O8" s="42"/>
      <c r="P8" s="26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37"/>
      <c r="BQ8" s="27"/>
      <c r="BR8" s="27"/>
      <c r="BS8" s="27"/>
      <c r="BT8" s="27"/>
      <c r="BU8" s="27"/>
      <c r="BV8" s="27"/>
      <c r="BW8" s="37"/>
    </row>
    <row r="9">
      <c r="A9" s="32">
        <v>4.0</v>
      </c>
      <c r="B9" s="43" t="s">
        <v>23</v>
      </c>
      <c r="C9" s="34">
        <v>4.0</v>
      </c>
      <c r="D9" s="35">
        <v>3.0</v>
      </c>
      <c r="E9" s="23">
        <f t="shared" si="2"/>
        <v>6</v>
      </c>
      <c r="F9" s="34">
        <v>1.0</v>
      </c>
      <c r="G9" s="34" t="s">
        <v>24</v>
      </c>
      <c r="H9" s="34" t="s">
        <v>18</v>
      </c>
      <c r="I9" s="34">
        <v>5.0</v>
      </c>
      <c r="J9" s="34">
        <v>0.0</v>
      </c>
      <c r="K9" s="34">
        <v>1.0</v>
      </c>
      <c r="L9" s="44">
        <v>4.0</v>
      </c>
      <c r="M9" s="45"/>
      <c r="N9" s="27"/>
      <c r="O9" s="25"/>
      <c r="P9" s="25"/>
      <c r="Q9" s="25"/>
      <c r="R9" s="25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37"/>
      <c r="BQ9" s="27"/>
      <c r="BR9" s="27"/>
      <c r="BS9" s="27"/>
      <c r="BT9" s="27"/>
      <c r="BU9" s="27"/>
      <c r="BV9" s="27"/>
      <c r="BW9" s="37"/>
    </row>
    <row r="10">
      <c r="A10" s="38">
        <v>5.0</v>
      </c>
      <c r="B10" s="39" t="s">
        <v>25</v>
      </c>
      <c r="C10" s="40">
        <v>4.0</v>
      </c>
      <c r="D10" s="22">
        <v>3.0</v>
      </c>
      <c r="E10" s="23">
        <f t="shared" si="2"/>
        <v>6</v>
      </c>
      <c r="F10" s="40">
        <v>1.0</v>
      </c>
      <c r="G10" s="40" t="s">
        <v>24</v>
      </c>
      <c r="H10" s="40" t="s">
        <v>22</v>
      </c>
      <c r="I10" s="40">
        <v>5.0</v>
      </c>
      <c r="J10" s="40">
        <v>0.0</v>
      </c>
      <c r="K10" s="40">
        <v>1.0</v>
      </c>
      <c r="L10" s="24">
        <v>4.0</v>
      </c>
      <c r="M10" s="45"/>
      <c r="N10" s="27"/>
      <c r="O10" s="42"/>
      <c r="P10" s="42"/>
      <c r="Q10" s="42"/>
      <c r="R10" s="42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37"/>
      <c r="BQ10" s="27"/>
      <c r="BR10" s="27"/>
      <c r="BS10" s="27"/>
      <c r="BT10" s="27"/>
      <c r="BU10" s="27"/>
      <c r="BV10" s="27"/>
      <c r="BW10" s="37"/>
    </row>
    <row r="11">
      <c r="A11" s="32">
        <v>6.0</v>
      </c>
      <c r="B11" s="46" t="s">
        <v>26</v>
      </c>
      <c r="C11" s="34">
        <v>4.0</v>
      </c>
      <c r="D11" s="35">
        <v>3.0</v>
      </c>
      <c r="E11" s="23">
        <f t="shared" si="2"/>
        <v>6</v>
      </c>
      <c r="F11" s="34">
        <v>1.0</v>
      </c>
      <c r="G11" s="34" t="s">
        <v>24</v>
      </c>
      <c r="H11" s="34" t="s">
        <v>20</v>
      </c>
      <c r="I11" s="34">
        <v>5.0</v>
      </c>
      <c r="J11" s="34">
        <v>1.0</v>
      </c>
      <c r="K11" s="34">
        <v>2.0</v>
      </c>
      <c r="L11" s="44">
        <v>4.0</v>
      </c>
      <c r="M11" s="45"/>
      <c r="N11" s="27"/>
      <c r="O11" s="47"/>
      <c r="P11" s="47"/>
      <c r="Q11" s="47"/>
      <c r="R11" s="4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37"/>
      <c r="BQ11" s="27"/>
      <c r="BR11" s="27"/>
      <c r="BS11" s="27"/>
      <c r="BT11" s="27"/>
      <c r="BU11" s="27"/>
      <c r="BV11" s="27"/>
      <c r="BW11" s="37"/>
    </row>
    <row r="12">
      <c r="A12" s="38">
        <v>7.0</v>
      </c>
      <c r="B12" s="39" t="s">
        <v>27</v>
      </c>
      <c r="C12" s="40">
        <v>6.0</v>
      </c>
      <c r="D12" s="22">
        <v>6.0</v>
      </c>
      <c r="E12" s="23">
        <f t="shared" si="2"/>
        <v>11</v>
      </c>
      <c r="F12" s="40">
        <v>6.0</v>
      </c>
      <c r="G12" s="40" t="s">
        <v>28</v>
      </c>
      <c r="H12" s="40" t="s">
        <v>18</v>
      </c>
      <c r="I12" s="40">
        <v>5.0</v>
      </c>
      <c r="J12" s="27"/>
      <c r="K12" s="48"/>
      <c r="L12" s="49"/>
      <c r="M12" s="45"/>
      <c r="N12" s="27"/>
      <c r="O12" s="26"/>
      <c r="P12" s="26"/>
      <c r="Q12" s="27"/>
      <c r="R12" s="25"/>
      <c r="S12" s="25"/>
      <c r="T12" s="25"/>
      <c r="U12" s="25"/>
      <c r="V12" s="25"/>
      <c r="W12" s="25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37"/>
      <c r="BQ12" s="27"/>
      <c r="BR12" s="27"/>
      <c r="BS12" s="27"/>
      <c r="BT12" s="27"/>
      <c r="BU12" s="27"/>
      <c r="BV12" s="27"/>
      <c r="BW12" s="37"/>
    </row>
    <row r="13">
      <c r="A13" s="32">
        <v>8.0</v>
      </c>
      <c r="B13" s="33" t="s">
        <v>29</v>
      </c>
      <c r="C13" s="34">
        <v>6.0</v>
      </c>
      <c r="D13" s="35">
        <v>6.0</v>
      </c>
      <c r="E13" s="23">
        <f t="shared" si="2"/>
        <v>11</v>
      </c>
      <c r="F13" s="34">
        <v>6.0</v>
      </c>
      <c r="G13" s="34" t="s">
        <v>28</v>
      </c>
      <c r="H13" s="34" t="s">
        <v>22</v>
      </c>
      <c r="I13" s="34">
        <v>5.0</v>
      </c>
      <c r="J13" s="50"/>
      <c r="K13" s="51"/>
      <c r="L13" s="52"/>
      <c r="M13" s="45"/>
      <c r="N13" s="27"/>
      <c r="O13" s="26"/>
      <c r="P13" s="26"/>
      <c r="Q13" s="27"/>
      <c r="R13" s="42"/>
      <c r="S13" s="42"/>
      <c r="T13" s="42"/>
      <c r="U13" s="42"/>
      <c r="V13" s="42"/>
      <c r="W13" s="42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37"/>
      <c r="BQ13" s="27"/>
      <c r="BR13" s="27"/>
      <c r="BS13" s="27"/>
      <c r="BT13" s="27"/>
      <c r="BU13" s="27"/>
      <c r="BV13" s="27"/>
      <c r="BW13" s="37"/>
    </row>
    <row r="14">
      <c r="A14" s="38">
        <v>9.0</v>
      </c>
      <c r="B14" s="39" t="s">
        <v>30</v>
      </c>
      <c r="C14" s="40">
        <v>12.0</v>
      </c>
      <c r="D14" s="22">
        <v>6.0</v>
      </c>
      <c r="E14" s="23">
        <f t="shared" si="2"/>
        <v>17</v>
      </c>
      <c r="F14" s="40">
        <v>6.0</v>
      </c>
      <c r="G14" s="40" t="s">
        <v>28</v>
      </c>
      <c r="H14" s="40" t="s">
        <v>20</v>
      </c>
      <c r="I14" s="40">
        <v>4.0</v>
      </c>
      <c r="J14" s="27"/>
      <c r="K14" s="48"/>
      <c r="L14" s="49"/>
      <c r="M14" s="45"/>
      <c r="N14" s="27"/>
      <c r="O14" s="26"/>
      <c r="P14" s="26"/>
      <c r="Q14" s="2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37"/>
      <c r="BQ14" s="27"/>
      <c r="BR14" s="27"/>
      <c r="BS14" s="27"/>
      <c r="BT14" s="27"/>
      <c r="BU14" s="27"/>
      <c r="BV14" s="27"/>
      <c r="BW14" s="37"/>
    </row>
    <row r="15">
      <c r="A15" s="32">
        <v>10.0</v>
      </c>
      <c r="B15" s="33" t="s">
        <v>31</v>
      </c>
      <c r="C15" s="34">
        <v>12.0</v>
      </c>
      <c r="D15" s="35">
        <v>18.0</v>
      </c>
      <c r="E15" s="23">
        <f t="shared" si="2"/>
        <v>29</v>
      </c>
      <c r="F15" s="50"/>
      <c r="G15" s="34" t="s">
        <v>28</v>
      </c>
      <c r="H15" s="34" t="s">
        <v>20</v>
      </c>
      <c r="I15" s="34">
        <v>3.0</v>
      </c>
      <c r="J15" s="50"/>
      <c r="K15" s="51"/>
      <c r="L15" s="52"/>
      <c r="M15" s="45"/>
      <c r="N15" s="27"/>
      <c r="O15" s="26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37"/>
      <c r="BQ15" s="27"/>
      <c r="BR15" s="27"/>
      <c r="BS15" s="27"/>
      <c r="BT15" s="27"/>
      <c r="BU15" s="27"/>
      <c r="BV15" s="27"/>
      <c r="BW15" s="37"/>
    </row>
    <row r="16">
      <c r="A16" s="38">
        <v>11.0</v>
      </c>
      <c r="B16" s="39" t="s">
        <v>32</v>
      </c>
      <c r="C16" s="40">
        <v>12.0</v>
      </c>
      <c r="D16" s="22">
        <v>11.0</v>
      </c>
      <c r="E16" s="23">
        <f t="shared" si="2"/>
        <v>22</v>
      </c>
      <c r="F16" s="27"/>
      <c r="G16" s="40" t="s">
        <v>28</v>
      </c>
      <c r="H16" s="40" t="s">
        <v>22</v>
      </c>
      <c r="I16" s="40">
        <v>4.0</v>
      </c>
      <c r="J16" s="27"/>
      <c r="K16" s="48"/>
      <c r="L16" s="49"/>
      <c r="M16" s="45"/>
      <c r="N16" s="27"/>
      <c r="O16" s="26"/>
      <c r="P16" s="26"/>
      <c r="Q16" s="27"/>
      <c r="R16" s="27"/>
      <c r="S16" s="27"/>
      <c r="T16" s="27"/>
      <c r="U16" s="27"/>
      <c r="V16" s="27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37"/>
      <c r="BQ16" s="27"/>
      <c r="BR16" s="27"/>
      <c r="BS16" s="27"/>
      <c r="BT16" s="27"/>
      <c r="BU16" s="27"/>
      <c r="BV16" s="27"/>
      <c r="BW16" s="37"/>
    </row>
    <row r="17">
      <c r="A17" s="32">
        <v>12.0</v>
      </c>
      <c r="B17" s="33" t="s">
        <v>33</v>
      </c>
      <c r="C17" s="34">
        <v>18.0</v>
      </c>
      <c r="D17" s="35">
        <v>11.0</v>
      </c>
      <c r="E17" s="23">
        <f t="shared" si="2"/>
        <v>28</v>
      </c>
      <c r="F17" s="50"/>
      <c r="G17" s="34" t="s">
        <v>28</v>
      </c>
      <c r="H17" s="34" t="s">
        <v>18</v>
      </c>
      <c r="I17" s="34">
        <v>3.0</v>
      </c>
      <c r="J17" s="50"/>
      <c r="K17" s="51"/>
      <c r="L17" s="52"/>
      <c r="M17" s="45"/>
      <c r="N17" s="27"/>
      <c r="O17" s="26"/>
      <c r="P17" s="26"/>
      <c r="Q17" s="27"/>
      <c r="R17" s="27"/>
      <c r="S17" s="27"/>
      <c r="T17" s="27"/>
      <c r="U17" s="27"/>
      <c r="V17" s="27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37"/>
      <c r="BQ17" s="27"/>
      <c r="BR17" s="27"/>
      <c r="BS17" s="27"/>
      <c r="BT17" s="27"/>
      <c r="BU17" s="27"/>
      <c r="BV17" s="27"/>
      <c r="BW17" s="37"/>
    </row>
    <row r="18">
      <c r="A18" s="38">
        <v>13.0</v>
      </c>
      <c r="B18" s="39" t="s">
        <v>34</v>
      </c>
      <c r="C18" s="40">
        <v>12.0</v>
      </c>
      <c r="D18" s="22">
        <v>30.0</v>
      </c>
      <c r="E18" s="23">
        <f t="shared" si="2"/>
        <v>41</v>
      </c>
      <c r="F18" s="27"/>
      <c r="G18" s="40" t="s">
        <v>28</v>
      </c>
      <c r="H18" s="40" t="s">
        <v>20</v>
      </c>
      <c r="I18" s="40">
        <v>3.0</v>
      </c>
      <c r="J18" s="27"/>
      <c r="K18" s="48"/>
      <c r="L18" s="49"/>
      <c r="M18" s="45"/>
      <c r="N18" s="27"/>
      <c r="O18" s="26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37"/>
      <c r="BQ18" s="27"/>
      <c r="BR18" s="27"/>
      <c r="BS18" s="27"/>
      <c r="BT18" s="27"/>
      <c r="BU18" s="27"/>
      <c r="BV18" s="27"/>
      <c r="BW18" s="37"/>
    </row>
    <row r="19">
      <c r="A19" s="32">
        <v>14.0</v>
      </c>
      <c r="B19" s="33" t="s">
        <v>35</v>
      </c>
      <c r="C19" s="34">
        <v>18.0</v>
      </c>
      <c r="D19" s="35">
        <v>22.0</v>
      </c>
      <c r="E19" s="23">
        <f t="shared" si="2"/>
        <v>39</v>
      </c>
      <c r="F19" s="50"/>
      <c r="G19" s="34" t="s">
        <v>28</v>
      </c>
      <c r="H19" s="34" t="s">
        <v>22</v>
      </c>
      <c r="I19" s="34">
        <v>4.0</v>
      </c>
      <c r="J19" s="50"/>
      <c r="K19" s="51"/>
      <c r="L19" s="52"/>
      <c r="M19" s="45"/>
      <c r="N19" s="27"/>
      <c r="O19" s="26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37"/>
      <c r="BQ19" s="27"/>
      <c r="BR19" s="27"/>
      <c r="BS19" s="27"/>
      <c r="BT19" s="27"/>
      <c r="BU19" s="27"/>
      <c r="BV19" s="27"/>
      <c r="BW19" s="37"/>
    </row>
    <row r="20">
      <c r="A20" s="38">
        <v>15.0</v>
      </c>
      <c r="B20" s="39" t="s">
        <v>36</v>
      </c>
      <c r="C20" s="40">
        <v>18.0</v>
      </c>
      <c r="D20" s="22">
        <v>28.0</v>
      </c>
      <c r="E20" s="23">
        <f t="shared" si="2"/>
        <v>45</v>
      </c>
      <c r="F20" s="27"/>
      <c r="G20" s="40" t="s">
        <v>28</v>
      </c>
      <c r="H20" s="40" t="s">
        <v>18</v>
      </c>
      <c r="I20" s="40">
        <v>4.0</v>
      </c>
      <c r="J20" s="27"/>
      <c r="K20" s="48"/>
      <c r="L20" s="49"/>
      <c r="M20" s="45"/>
      <c r="N20" s="27"/>
      <c r="O20" s="26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37"/>
      <c r="BQ20" s="27"/>
      <c r="BR20" s="27"/>
      <c r="BS20" s="27"/>
      <c r="BT20" s="27"/>
      <c r="BU20" s="27"/>
      <c r="BV20" s="27"/>
      <c r="BW20" s="37"/>
    </row>
    <row r="21">
      <c r="A21" s="32">
        <v>16.0</v>
      </c>
      <c r="B21" s="33" t="s">
        <v>37</v>
      </c>
      <c r="C21" s="34">
        <v>6.0</v>
      </c>
      <c r="D21" s="35">
        <v>39.0</v>
      </c>
      <c r="E21" s="23">
        <f t="shared" si="2"/>
        <v>44</v>
      </c>
      <c r="F21" s="50"/>
      <c r="G21" s="34" t="s">
        <v>28</v>
      </c>
      <c r="H21" s="34" t="s">
        <v>22</v>
      </c>
      <c r="I21" s="34">
        <v>5.0</v>
      </c>
      <c r="J21" s="50"/>
      <c r="K21" s="51"/>
      <c r="L21" s="52"/>
      <c r="M21" s="45"/>
      <c r="N21" s="27"/>
      <c r="O21" s="26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42"/>
      <c r="AZ21" s="42"/>
      <c r="BA21" s="42"/>
      <c r="BB21" s="42"/>
      <c r="BC21" s="42"/>
      <c r="BD21" s="42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37"/>
      <c r="BQ21" s="27"/>
      <c r="BR21" s="27"/>
      <c r="BS21" s="27"/>
      <c r="BT21" s="27"/>
      <c r="BU21" s="27"/>
      <c r="BV21" s="27"/>
      <c r="BW21" s="37"/>
    </row>
    <row r="22">
      <c r="A22" s="38">
        <v>17.0</v>
      </c>
      <c r="B22" s="39" t="s">
        <v>38</v>
      </c>
      <c r="C22" s="40">
        <v>6.0</v>
      </c>
      <c r="D22" s="22">
        <v>41.0</v>
      </c>
      <c r="E22" s="23">
        <f t="shared" si="2"/>
        <v>46</v>
      </c>
      <c r="F22" s="27"/>
      <c r="G22" s="40" t="s">
        <v>28</v>
      </c>
      <c r="H22" s="40" t="s">
        <v>20</v>
      </c>
      <c r="I22" s="40">
        <v>4.0</v>
      </c>
      <c r="J22" s="27"/>
      <c r="K22" s="48"/>
      <c r="L22" s="49"/>
      <c r="M22" s="45"/>
      <c r="N22" s="27"/>
      <c r="O22" s="26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47"/>
      <c r="BB22" s="47"/>
      <c r="BC22" s="47"/>
      <c r="BD22" s="47"/>
      <c r="BE22" s="47"/>
      <c r="BF22" s="47"/>
      <c r="BG22" s="27"/>
      <c r="BH22" s="27"/>
      <c r="BI22" s="27"/>
      <c r="BJ22" s="27"/>
      <c r="BK22" s="27"/>
      <c r="BL22" s="27"/>
      <c r="BM22" s="27"/>
      <c r="BN22" s="27"/>
      <c r="BO22" s="27"/>
      <c r="BP22" s="37"/>
      <c r="BQ22" s="27"/>
      <c r="BR22" s="27"/>
      <c r="BS22" s="27"/>
      <c r="BT22" s="27"/>
      <c r="BU22" s="27"/>
      <c r="BV22" s="27"/>
      <c r="BW22" s="37"/>
    </row>
    <row r="23">
      <c r="A23" s="38">
        <v>18.0</v>
      </c>
      <c r="B23" s="33" t="s">
        <v>39</v>
      </c>
      <c r="C23" s="34">
        <v>12.0</v>
      </c>
      <c r="D23" s="35">
        <v>45.0</v>
      </c>
      <c r="E23" s="23">
        <f t="shared" si="2"/>
        <v>56</v>
      </c>
      <c r="F23" s="50"/>
      <c r="G23" s="34" t="s">
        <v>28</v>
      </c>
      <c r="H23" s="34" t="s">
        <v>18</v>
      </c>
      <c r="I23" s="34">
        <v>3.0</v>
      </c>
      <c r="J23" s="50"/>
      <c r="K23" s="51"/>
      <c r="L23" s="52"/>
      <c r="M23" s="45"/>
      <c r="N23" s="27"/>
      <c r="O23" s="26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53"/>
      <c r="BQ23" s="27"/>
      <c r="BR23" s="27"/>
      <c r="BS23" s="27"/>
      <c r="BT23" s="27"/>
      <c r="BU23" s="27"/>
      <c r="BV23" s="27"/>
      <c r="BW23" s="37"/>
    </row>
    <row r="24">
      <c r="A24" s="38">
        <v>19.0</v>
      </c>
      <c r="B24" s="39" t="s">
        <v>40</v>
      </c>
      <c r="C24" s="40">
        <v>15.0</v>
      </c>
      <c r="D24" s="22">
        <v>46.0</v>
      </c>
      <c r="E24" s="23">
        <f t="shared" si="2"/>
        <v>60</v>
      </c>
      <c r="F24" s="27"/>
      <c r="G24" s="40" t="s">
        <v>28</v>
      </c>
      <c r="H24" s="40" t="s">
        <v>20</v>
      </c>
      <c r="I24" s="40">
        <v>4.0</v>
      </c>
      <c r="J24" s="27"/>
      <c r="K24" s="48"/>
      <c r="L24" s="49"/>
      <c r="M24" s="45"/>
      <c r="N24" s="27"/>
      <c r="O24" s="26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54"/>
      <c r="BQ24" s="47"/>
      <c r="BR24" s="47"/>
      <c r="BS24" s="47"/>
      <c r="BT24" s="47"/>
      <c r="BU24" s="27"/>
      <c r="BV24" s="27"/>
      <c r="BW24" s="37"/>
    </row>
    <row r="25">
      <c r="A25" s="38">
        <v>20.0</v>
      </c>
      <c r="B25" s="33" t="s">
        <v>41</v>
      </c>
      <c r="C25" s="34">
        <v>3.0</v>
      </c>
      <c r="D25" s="35">
        <v>44.0</v>
      </c>
      <c r="E25" s="23">
        <f t="shared" si="2"/>
        <v>46</v>
      </c>
      <c r="F25" s="50"/>
      <c r="G25" s="34" t="s">
        <v>28</v>
      </c>
      <c r="H25" s="34" t="s">
        <v>22</v>
      </c>
      <c r="I25" s="34">
        <v>5.0</v>
      </c>
      <c r="J25" s="50"/>
      <c r="K25" s="51"/>
      <c r="L25" s="52"/>
      <c r="M25" s="45"/>
      <c r="N25" s="27"/>
      <c r="O25" s="26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42"/>
      <c r="BE25" s="42"/>
      <c r="BF25" s="42"/>
      <c r="BG25" s="27"/>
      <c r="BH25" s="27"/>
      <c r="BI25" s="27"/>
      <c r="BJ25" s="27"/>
      <c r="BK25" s="27"/>
      <c r="BL25" s="27"/>
      <c r="BM25" s="27"/>
      <c r="BN25" s="27"/>
      <c r="BO25" s="27"/>
      <c r="BP25" s="37"/>
      <c r="BQ25" s="27"/>
      <c r="BR25" s="27"/>
      <c r="BS25" s="27"/>
      <c r="BT25" s="27"/>
      <c r="BU25" s="27"/>
      <c r="BV25" s="27"/>
      <c r="BW25" s="37"/>
    </row>
    <row r="26">
      <c r="A26" s="38">
        <v>21.0</v>
      </c>
      <c r="B26" s="33" t="s">
        <v>42</v>
      </c>
      <c r="C26" s="34">
        <v>3.0</v>
      </c>
      <c r="D26" s="35">
        <v>56.0</v>
      </c>
      <c r="E26" s="23">
        <f t="shared" si="2"/>
        <v>58</v>
      </c>
      <c r="F26" s="50"/>
      <c r="G26" s="34" t="s">
        <v>28</v>
      </c>
      <c r="H26" s="34" t="s">
        <v>18</v>
      </c>
      <c r="I26" s="34">
        <v>4.0</v>
      </c>
      <c r="J26" s="50"/>
      <c r="K26" s="51"/>
      <c r="L26" s="52"/>
      <c r="M26" s="45"/>
      <c r="N26" s="27"/>
      <c r="O26" s="26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53"/>
      <c r="BQ26" s="25"/>
      <c r="BR26" s="25"/>
      <c r="BS26" s="27"/>
      <c r="BT26" s="27"/>
      <c r="BU26" s="27"/>
      <c r="BV26" s="27"/>
      <c r="BW26" s="37"/>
    </row>
    <row r="27">
      <c r="A27" s="38">
        <v>22.0</v>
      </c>
      <c r="B27" s="33" t="s">
        <v>43</v>
      </c>
      <c r="C27" s="34">
        <v>3.0</v>
      </c>
      <c r="D27" s="35">
        <v>60.0</v>
      </c>
      <c r="E27" s="23">
        <f t="shared" si="2"/>
        <v>62</v>
      </c>
      <c r="F27" s="50"/>
      <c r="G27" s="34" t="s">
        <v>28</v>
      </c>
      <c r="H27" s="34" t="s">
        <v>20</v>
      </c>
      <c r="I27" s="34">
        <v>4.0</v>
      </c>
      <c r="J27" s="50"/>
      <c r="K27" s="51"/>
      <c r="L27" s="52"/>
      <c r="M27" s="45"/>
      <c r="N27" s="27"/>
      <c r="O27" s="26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37"/>
      <c r="BQ27" s="27"/>
      <c r="BR27" s="27"/>
      <c r="BS27" s="27"/>
      <c r="BT27" s="47"/>
      <c r="BU27" s="47"/>
      <c r="BV27" s="47"/>
      <c r="BW27" s="37"/>
    </row>
    <row r="28">
      <c r="A28" s="38">
        <v>23.0</v>
      </c>
      <c r="B28" s="33" t="s">
        <v>44</v>
      </c>
      <c r="C28" s="34">
        <v>3.0</v>
      </c>
      <c r="D28" s="35">
        <v>58.0</v>
      </c>
      <c r="E28" s="23">
        <f t="shared" si="2"/>
        <v>60</v>
      </c>
      <c r="F28" s="50"/>
      <c r="G28" s="34" t="s">
        <v>28</v>
      </c>
      <c r="H28" s="34" t="s">
        <v>18</v>
      </c>
      <c r="I28" s="34">
        <v>4.0</v>
      </c>
      <c r="J28" s="50"/>
      <c r="K28" s="51"/>
      <c r="L28" s="52"/>
      <c r="M28" s="45"/>
      <c r="N28" s="27"/>
      <c r="O28" s="26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37"/>
      <c r="BQ28" s="27"/>
      <c r="BR28" s="25"/>
      <c r="BS28" s="25"/>
      <c r="BT28" s="25"/>
      <c r="BU28" s="27"/>
      <c r="BV28" s="27"/>
      <c r="BW28" s="37"/>
    </row>
    <row r="29">
      <c r="A29" s="38">
        <v>24.0</v>
      </c>
      <c r="B29" s="33" t="s">
        <v>45</v>
      </c>
      <c r="C29" s="34">
        <v>3.0</v>
      </c>
      <c r="D29" s="35">
        <v>60.0</v>
      </c>
      <c r="E29" s="23">
        <f t="shared" si="2"/>
        <v>62</v>
      </c>
      <c r="F29" s="50"/>
      <c r="G29" s="34" t="s">
        <v>28</v>
      </c>
      <c r="H29" s="34" t="s">
        <v>18</v>
      </c>
      <c r="I29" s="34">
        <v>5.0</v>
      </c>
      <c r="J29" s="50"/>
      <c r="K29" s="51"/>
      <c r="L29" s="52"/>
      <c r="M29" s="45"/>
      <c r="N29" s="27"/>
      <c r="O29" s="26"/>
      <c r="P29" s="26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37"/>
      <c r="BQ29" s="27"/>
      <c r="BR29" s="27"/>
      <c r="BS29" s="27"/>
      <c r="BT29" s="25"/>
      <c r="BU29" s="25"/>
      <c r="BV29" s="25"/>
      <c r="BW29" s="37"/>
    </row>
    <row r="30">
      <c r="A30" s="38">
        <v>25.0</v>
      </c>
      <c r="B30" s="33" t="s">
        <v>46</v>
      </c>
      <c r="C30" s="34">
        <v>18.0</v>
      </c>
      <c r="D30" s="35">
        <v>46.0</v>
      </c>
      <c r="E30" s="23">
        <f t="shared" si="2"/>
        <v>63</v>
      </c>
      <c r="F30" s="50"/>
      <c r="G30" s="34" t="s">
        <v>28</v>
      </c>
      <c r="H30" s="34" t="s">
        <v>22</v>
      </c>
      <c r="I30" s="34">
        <v>5.0</v>
      </c>
      <c r="J30" s="50"/>
      <c r="K30" s="51"/>
      <c r="L30" s="52"/>
      <c r="M30" s="45"/>
      <c r="N30" s="27"/>
      <c r="O30" s="26"/>
      <c r="P30" s="26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55"/>
      <c r="BQ30" s="42"/>
      <c r="BR30" s="42"/>
      <c r="BS30" s="42"/>
      <c r="BT30" s="42"/>
      <c r="BU30" s="42"/>
      <c r="BV30" s="42"/>
      <c r="BW30" s="55"/>
    </row>
    <row r="31">
      <c r="A31" s="38">
        <v>26.0</v>
      </c>
      <c r="B31" s="33"/>
      <c r="C31" s="34"/>
      <c r="D31" s="35"/>
      <c r="E31" s="23" t="str">
        <f t="shared" si="2"/>
        <v/>
      </c>
      <c r="F31" s="50"/>
      <c r="G31" s="34"/>
      <c r="H31" s="50"/>
      <c r="I31" s="50"/>
      <c r="J31" s="50"/>
      <c r="K31" s="51"/>
      <c r="L31" s="52"/>
      <c r="M31" s="45"/>
      <c r="N31" s="27"/>
      <c r="O31" s="26"/>
      <c r="P31" s="26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37"/>
      <c r="BQ31" s="27"/>
      <c r="BR31" s="27"/>
      <c r="BS31" s="27"/>
      <c r="BT31" s="27"/>
      <c r="BU31" s="27"/>
      <c r="BV31" s="27"/>
      <c r="BW31" s="37"/>
    </row>
    <row r="32">
      <c r="A32" s="38">
        <v>27.0</v>
      </c>
      <c r="B32" s="33"/>
      <c r="C32" s="34"/>
      <c r="D32" s="35"/>
      <c r="E32" s="23" t="str">
        <f t="shared" si="2"/>
        <v/>
      </c>
      <c r="F32" s="50"/>
      <c r="G32" s="34"/>
      <c r="H32" s="50"/>
      <c r="I32" s="50"/>
      <c r="J32" s="50"/>
      <c r="K32" s="51"/>
      <c r="L32" s="52"/>
      <c r="M32" s="45"/>
      <c r="N32" s="27"/>
      <c r="O32" s="26"/>
      <c r="P32" s="26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37"/>
      <c r="BQ32" s="27"/>
      <c r="BR32" s="27"/>
      <c r="BS32" s="27"/>
      <c r="BT32" s="27"/>
      <c r="BU32" s="27"/>
      <c r="BV32" s="27"/>
      <c r="BW32" s="37"/>
    </row>
    <row r="33">
      <c r="A33" s="38">
        <v>28.0</v>
      </c>
      <c r="B33" s="56"/>
      <c r="C33" s="34"/>
      <c r="D33" s="35"/>
      <c r="E33" s="23" t="str">
        <f t="shared" si="2"/>
        <v/>
      </c>
      <c r="F33" s="50"/>
      <c r="G33" s="34"/>
      <c r="H33" s="50"/>
      <c r="I33" s="50"/>
      <c r="J33" s="50"/>
      <c r="K33" s="51"/>
      <c r="L33" s="52"/>
      <c r="M33" s="45"/>
      <c r="N33" s="27"/>
      <c r="O33" s="26"/>
      <c r="P33" s="26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37"/>
      <c r="BQ33" s="27"/>
      <c r="BR33" s="27"/>
      <c r="BS33" s="27"/>
      <c r="BT33" s="27"/>
      <c r="BU33" s="27"/>
      <c r="BV33" s="27"/>
      <c r="BW33" s="37"/>
    </row>
    <row r="34">
      <c r="A34" s="38">
        <v>29.0</v>
      </c>
      <c r="B34" s="56"/>
      <c r="C34" s="34"/>
      <c r="D34" s="35"/>
      <c r="E34" s="23" t="str">
        <f t="shared" si="2"/>
        <v/>
      </c>
      <c r="F34" s="50"/>
      <c r="G34" s="34"/>
      <c r="H34" s="50"/>
      <c r="I34" s="50"/>
      <c r="J34" s="50"/>
      <c r="K34" s="51"/>
      <c r="L34" s="52"/>
      <c r="M34" s="45"/>
      <c r="N34" s="27"/>
      <c r="O34" s="26"/>
      <c r="P34" s="26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37"/>
      <c r="BQ34" s="27"/>
      <c r="BR34" s="27"/>
      <c r="BS34" s="27"/>
      <c r="BT34" s="27"/>
      <c r="BU34" s="27"/>
      <c r="BV34" s="27"/>
      <c r="BW34" s="37"/>
    </row>
    <row r="35">
      <c r="A35" s="38">
        <v>30.0</v>
      </c>
      <c r="B35" s="56"/>
      <c r="C35" s="34"/>
      <c r="D35" s="35"/>
      <c r="E35" s="23" t="str">
        <f t="shared" si="2"/>
        <v/>
      </c>
      <c r="F35" s="50"/>
      <c r="G35" s="34"/>
      <c r="H35" s="50"/>
      <c r="I35" s="50"/>
      <c r="J35" s="50"/>
      <c r="K35" s="51"/>
      <c r="L35" s="52"/>
      <c r="M35" s="45"/>
      <c r="N35" s="27"/>
      <c r="O35" s="26"/>
      <c r="P35" s="26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37"/>
      <c r="BQ35" s="27"/>
      <c r="BR35" s="27"/>
      <c r="BS35" s="27"/>
      <c r="BT35" s="27"/>
      <c r="BU35" s="27"/>
      <c r="BV35" s="27"/>
      <c r="BW35" s="37"/>
    </row>
    <row r="36">
      <c r="A36" s="38">
        <v>31.0</v>
      </c>
      <c r="B36" s="56"/>
      <c r="C36" s="34"/>
      <c r="D36" s="35"/>
      <c r="E36" s="23" t="str">
        <f t="shared" si="2"/>
        <v/>
      </c>
      <c r="F36" s="50"/>
      <c r="G36" s="34"/>
      <c r="H36" s="50"/>
      <c r="I36" s="50"/>
      <c r="J36" s="50"/>
      <c r="K36" s="51"/>
      <c r="L36" s="52"/>
      <c r="M36" s="45"/>
      <c r="N36" s="27"/>
      <c r="O36" s="26"/>
      <c r="P36" s="26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37"/>
      <c r="BQ36" s="27"/>
      <c r="BR36" s="27"/>
      <c r="BS36" s="27"/>
      <c r="BT36" s="27"/>
      <c r="BU36" s="27"/>
      <c r="BV36" s="27"/>
      <c r="BW36" s="37"/>
    </row>
    <row r="37">
      <c r="A37" s="38">
        <v>32.0</v>
      </c>
      <c r="B37" s="56"/>
      <c r="C37" s="34"/>
      <c r="D37" s="35"/>
      <c r="E37" s="23" t="str">
        <f t="shared" si="2"/>
        <v/>
      </c>
      <c r="F37" s="50"/>
      <c r="G37" s="34"/>
      <c r="H37" s="50"/>
      <c r="I37" s="50"/>
      <c r="J37" s="50"/>
      <c r="K37" s="51"/>
      <c r="L37" s="52"/>
      <c r="M37" s="45"/>
      <c r="N37" s="27"/>
      <c r="O37" s="26"/>
      <c r="P37" s="26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37"/>
      <c r="BQ37" s="27"/>
      <c r="BR37" s="27"/>
      <c r="BS37" s="27"/>
      <c r="BT37" s="27"/>
      <c r="BU37" s="27"/>
      <c r="BV37" s="27"/>
      <c r="BW37" s="37"/>
    </row>
    <row r="38">
      <c r="A38" s="38">
        <v>33.0</v>
      </c>
      <c r="B38" s="45"/>
      <c r="C38" s="40"/>
      <c r="D38" s="22"/>
      <c r="E38" s="23" t="str">
        <f t="shared" si="2"/>
        <v/>
      </c>
      <c r="F38" s="27"/>
      <c r="G38" s="40"/>
      <c r="H38" s="27"/>
      <c r="I38" s="27"/>
      <c r="J38" s="27"/>
      <c r="K38" s="48"/>
      <c r="L38" s="49"/>
      <c r="M38" s="45"/>
      <c r="N38" s="27"/>
      <c r="O38" s="26"/>
      <c r="P38" s="26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37"/>
      <c r="BQ38" s="27"/>
      <c r="BR38" s="27"/>
      <c r="BS38" s="27"/>
      <c r="BT38" s="27"/>
      <c r="BU38" s="27"/>
      <c r="BV38" s="27"/>
      <c r="BW38" s="37"/>
    </row>
    <row r="39">
      <c r="A39" s="38">
        <v>34.0</v>
      </c>
      <c r="B39" s="56"/>
      <c r="C39" s="34"/>
      <c r="D39" s="35"/>
      <c r="E39" s="23" t="str">
        <f t="shared" si="2"/>
        <v/>
      </c>
      <c r="F39" s="50"/>
      <c r="G39" s="34"/>
      <c r="H39" s="50"/>
      <c r="I39" s="50"/>
      <c r="J39" s="50"/>
      <c r="K39" s="51"/>
      <c r="L39" s="52"/>
      <c r="M39" s="45"/>
      <c r="N39" s="27"/>
      <c r="O39" s="26"/>
      <c r="P39" s="26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37"/>
      <c r="BQ39" s="27"/>
      <c r="BR39" s="27"/>
      <c r="BS39" s="27"/>
      <c r="BT39" s="27"/>
      <c r="BU39" s="27"/>
      <c r="BV39" s="27"/>
      <c r="BW39" s="37"/>
    </row>
    <row r="40">
      <c r="A40" s="38">
        <v>35.0</v>
      </c>
      <c r="B40" s="45"/>
      <c r="C40" s="40"/>
      <c r="D40" s="22"/>
      <c r="E40" s="23" t="str">
        <f t="shared" si="2"/>
        <v/>
      </c>
      <c r="F40" s="27"/>
      <c r="G40" s="40"/>
      <c r="H40" s="27"/>
      <c r="I40" s="27"/>
      <c r="J40" s="27"/>
      <c r="K40" s="48"/>
      <c r="L40" s="49"/>
      <c r="M40" s="45"/>
      <c r="N40" s="27"/>
      <c r="O40" s="26"/>
      <c r="P40" s="26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37"/>
      <c r="BQ40" s="27"/>
      <c r="BR40" s="27"/>
      <c r="BS40" s="27"/>
      <c r="BT40" s="27"/>
      <c r="BU40" s="27"/>
      <c r="BV40" s="27"/>
      <c r="BW40" s="37"/>
    </row>
    <row r="41">
      <c r="A41" s="38">
        <v>36.0</v>
      </c>
      <c r="B41" s="56"/>
      <c r="C41" s="34"/>
      <c r="D41" s="35"/>
      <c r="E41" s="23" t="str">
        <f t="shared" si="2"/>
        <v/>
      </c>
      <c r="F41" s="50"/>
      <c r="G41" s="34"/>
      <c r="H41" s="50"/>
      <c r="I41" s="50"/>
      <c r="J41" s="50"/>
      <c r="K41" s="51"/>
      <c r="L41" s="52"/>
      <c r="M41" s="45"/>
      <c r="N41" s="27"/>
      <c r="O41" s="26"/>
      <c r="P41" s="26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37"/>
      <c r="BQ41" s="27"/>
      <c r="BR41" s="27"/>
      <c r="BS41" s="27"/>
      <c r="BT41" s="27"/>
      <c r="BU41" s="27"/>
      <c r="BV41" s="27"/>
      <c r="BW41" s="37"/>
    </row>
    <row r="42">
      <c r="A42" s="38">
        <v>37.0</v>
      </c>
      <c r="B42" s="57"/>
      <c r="C42" s="58"/>
      <c r="D42" s="58"/>
      <c r="E42" s="23" t="str">
        <f t="shared" si="2"/>
        <v/>
      </c>
      <c r="F42" s="59"/>
      <c r="G42" s="58"/>
      <c r="H42" s="59"/>
      <c r="I42" s="59"/>
      <c r="J42" s="59"/>
      <c r="K42" s="60"/>
      <c r="L42" s="61"/>
      <c r="M42" s="57"/>
      <c r="N42" s="59"/>
      <c r="O42" s="62"/>
      <c r="P42" s="62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63"/>
      <c r="BQ42" s="59"/>
      <c r="BR42" s="59"/>
      <c r="BS42" s="59"/>
      <c r="BT42" s="59"/>
      <c r="BU42" s="59"/>
      <c r="BV42" s="59"/>
      <c r="BW42" s="63"/>
    </row>
    <row r="43">
      <c r="B43" s="2"/>
      <c r="C43" s="2"/>
      <c r="D43" s="64"/>
      <c r="E43" s="64"/>
      <c r="F43" s="2"/>
      <c r="G43" s="2"/>
      <c r="H43" s="2"/>
      <c r="I43" s="2"/>
      <c r="J43" s="2"/>
      <c r="K43" s="64"/>
      <c r="L43" s="64"/>
      <c r="M43" s="2"/>
      <c r="N43" s="2"/>
    </row>
    <row r="44">
      <c r="B44" s="2"/>
      <c r="C44" s="2"/>
      <c r="D44" s="64"/>
      <c r="E44" s="64"/>
      <c r="F44" s="2"/>
      <c r="G44" s="2"/>
      <c r="H44" s="2"/>
      <c r="I44" s="2"/>
      <c r="J44" s="2"/>
      <c r="K44" s="64"/>
      <c r="L44" s="64"/>
      <c r="M44" s="2"/>
      <c r="N44" s="2"/>
    </row>
    <row r="45">
      <c r="B45" s="2"/>
      <c r="C45" s="2"/>
      <c r="D45" s="64"/>
      <c r="E45" s="64"/>
      <c r="F45" s="2"/>
      <c r="G45" s="2"/>
      <c r="H45" s="2"/>
      <c r="I45" s="2"/>
      <c r="J45" s="2"/>
      <c r="K45" s="64"/>
      <c r="L45" s="64"/>
      <c r="M45" s="2"/>
      <c r="N45" s="2"/>
    </row>
    <row r="46">
      <c r="B46" s="2"/>
      <c r="C46" s="2"/>
      <c r="D46" s="64"/>
      <c r="E46" s="64"/>
      <c r="F46" s="2"/>
      <c r="G46" s="2"/>
      <c r="H46" s="2"/>
      <c r="I46" s="2"/>
      <c r="J46" s="2"/>
      <c r="K46" s="64"/>
      <c r="L46" s="64"/>
      <c r="M46" s="2"/>
      <c r="N46" s="2"/>
    </row>
    <row r="47">
      <c r="B47" s="2"/>
      <c r="C47" s="2"/>
      <c r="D47" s="64"/>
      <c r="E47" s="64"/>
      <c r="F47" s="2"/>
      <c r="G47" s="2"/>
      <c r="H47" s="2"/>
      <c r="I47" s="2"/>
      <c r="J47" s="2"/>
      <c r="K47" s="64"/>
      <c r="L47" s="64"/>
      <c r="M47" s="2"/>
      <c r="N47" s="2"/>
    </row>
    <row r="48">
      <c r="B48" s="2"/>
      <c r="C48" s="2"/>
      <c r="D48" s="64"/>
      <c r="E48" s="64"/>
      <c r="F48" s="2"/>
      <c r="G48" s="2"/>
      <c r="H48" s="2"/>
      <c r="I48" s="2"/>
      <c r="J48" s="2"/>
      <c r="K48" s="64"/>
      <c r="L48" s="64"/>
      <c r="M48" s="2"/>
      <c r="N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</sheetData>
  <mergeCells count="4">
    <mergeCell ref="I1:L1"/>
    <mergeCell ref="H3:L3"/>
    <mergeCell ref="B4:L4"/>
    <mergeCell ref="M4:BW4"/>
  </mergeCells>
  <dataValidations>
    <dataValidation type="list" allowBlank="1" showErrorMessage="1" sqref="I6:I42">
      <formula1>Llistes!$B$2:$B$6</formula1>
    </dataValidation>
    <dataValidation type="list" allowBlank="1" showErrorMessage="1" sqref="G6:G42">
      <formula1>Llistes!$A$2:$A$5</formula1>
    </dataValidation>
    <dataValidation type="list" allowBlank="1" showErrorMessage="1" sqref="H6:H42">
      <formula1>Llistes!$C$2:$C$4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10</v>
      </c>
      <c r="B1" s="65" t="s">
        <v>12</v>
      </c>
      <c r="C1" s="65" t="s">
        <v>47</v>
      </c>
    </row>
    <row r="2">
      <c r="A2" s="65" t="s">
        <v>28</v>
      </c>
      <c r="B2" s="65">
        <v>1.0</v>
      </c>
      <c r="C2" s="65" t="s">
        <v>22</v>
      </c>
    </row>
    <row r="3">
      <c r="A3" s="65" t="s">
        <v>24</v>
      </c>
      <c r="B3" s="65">
        <v>2.0</v>
      </c>
      <c r="C3" s="65" t="s">
        <v>18</v>
      </c>
    </row>
    <row r="4">
      <c r="A4" s="65" t="s">
        <v>17</v>
      </c>
      <c r="B4" s="65">
        <v>3.0</v>
      </c>
      <c r="C4" s="65" t="s">
        <v>20</v>
      </c>
    </row>
    <row r="5">
      <c r="A5" s="65" t="s">
        <v>48</v>
      </c>
      <c r="B5" s="65">
        <v>4.0</v>
      </c>
    </row>
    <row r="6">
      <c r="B6" s="65">
        <v>5.0</v>
      </c>
    </row>
  </sheetData>
  <drawing r:id="rId1"/>
</worksheet>
</file>